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College Material\CollegeTrack\"/>
    </mc:Choice>
  </mc:AlternateContent>
  <xr:revisionPtr revIDLastSave="0" documentId="13_ncr:1_{2D7BF552-BBD0-4620-B3F5-7CA74E9783C5}" xr6:coauthVersionLast="47" xr6:coauthVersionMax="47" xr10:uidLastSave="{00000000-0000-0000-0000-000000000000}"/>
  <bookViews>
    <workbookView xWindow="-108" yWindow="-108" windowWidth="23256" windowHeight="12456" activeTab="1" xr2:uid="{1A41BE31-1ECF-4A76-AA25-4685734A5295}"/>
  </bookViews>
  <sheets>
    <sheet name="Courses" sheetId="1" r:id="rId1"/>
    <sheet name="Grades" sheetId="2" r:id="rId2"/>
    <sheet name="Details" sheetId="3" r:id="rId3"/>
    <sheet name="GPT cache" sheetId="4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2" i="1" l="1" a="1"/>
  <c r="H82" i="1" s="1"/>
  <c r="H81" i="1" a="1"/>
  <c r="H81" i="1" s="1"/>
  <c r="H80" i="1" a="1"/>
  <c r="H80" i="1" s="1"/>
  <c r="H79" i="1" a="1"/>
  <c r="H79" i="1" s="1"/>
  <c r="H74" i="1" a="1"/>
  <c r="H74" i="1" s="1"/>
  <c r="H73" i="1" a="1"/>
  <c r="H73" i="1" s="1"/>
  <c r="H72" i="1" a="1"/>
  <c r="H72" i="1" s="1"/>
  <c r="H71" i="1" a="1"/>
  <c r="H71" i="1" s="1"/>
  <c r="H70" i="1" a="1"/>
  <c r="H70" i="1" s="1"/>
  <c r="H69" i="1" a="1"/>
  <c r="H69" i="1" s="1"/>
  <c r="C1" i="1"/>
  <c r="H63" i="1" a="1"/>
  <c r="H63" i="1" s="1"/>
  <c r="H64" i="1" a="1"/>
  <c r="H64" i="1" s="1"/>
  <c r="H62" i="1" a="1"/>
  <c r="H62" i="1" s="1"/>
  <c r="H61" i="1" a="1"/>
  <c r="H61" i="1" s="1"/>
  <c r="H60" i="1" a="1"/>
  <c r="H60" i="1" s="1"/>
  <c r="H59" i="1" a="1"/>
  <c r="H59" i="1" s="1"/>
  <c r="H58" i="1" a="1"/>
  <c r="H58" i="1" s="1"/>
  <c r="G58" i="3"/>
  <c r="H53" i="1" a="1"/>
  <c r="H53" i="1" s="1"/>
  <c r="H52" i="1" a="1"/>
  <c r="H52" i="1" s="1"/>
  <c r="H51" i="1" a="1"/>
  <c r="H51" i="1" s="1"/>
  <c r="H50" i="1" a="1"/>
  <c r="H50" i="1" s="1"/>
  <c r="H49" i="1" a="1"/>
  <c r="H49" i="1" s="1"/>
  <c r="H48" i="1" a="1"/>
  <c r="H4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38" i="1" a="1"/>
  <c r="H38" i="1" s="1"/>
  <c r="H27" i="1" a="1"/>
  <c r="H27" i="1" s="1"/>
  <c r="H28" i="1" a="1"/>
  <c r="H28" i="1" s="1"/>
  <c r="H29" i="1" a="1"/>
  <c r="H29" i="1" s="1"/>
  <c r="H30" i="1" a="1"/>
  <c r="H30" i="1"/>
  <c r="H31" i="1" a="1"/>
  <c r="H31" i="1"/>
  <c r="H32" i="1" a="1"/>
  <c r="H32" i="1" s="1"/>
  <c r="H22" i="1" a="1"/>
  <c r="H22" i="1" s="1"/>
  <c r="H21" i="1" a="1"/>
  <c r="H21" i="1" s="1"/>
  <c r="H20" i="1" a="1"/>
  <c r="H20" i="1" s="1"/>
  <c r="H19" i="1" a="1"/>
  <c r="H19" i="1" s="1"/>
  <c r="H18" i="1" a="1"/>
  <c r="H18" i="1" s="1"/>
  <c r="H17" i="1" a="1"/>
  <c r="H17" i="1" s="1"/>
  <c r="H16" i="1" a="1"/>
  <c r="H16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5" i="1" a="1"/>
  <c r="H5" i="1" s="1"/>
  <c r="H83" i="1" l="1"/>
  <c r="H75" i="1"/>
  <c r="H34" i="1"/>
  <c r="H65" i="1"/>
  <c r="H44" i="1"/>
  <c r="H23" i="1"/>
  <c r="H54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<sst xmlns="http://schemas.openxmlformats.org/spreadsheetml/2006/main" count="689" uniqueCount="199">
  <si>
    <t>Fall 2022</t>
  </si>
  <si>
    <t>S. No</t>
  </si>
  <si>
    <t>Course Code</t>
  </si>
  <si>
    <t>Credit Hours</t>
  </si>
  <si>
    <t>Maths I</t>
  </si>
  <si>
    <t>Physics I</t>
  </si>
  <si>
    <t>Programming</t>
  </si>
  <si>
    <t>Intro to Comp Tech</t>
  </si>
  <si>
    <t>English</t>
  </si>
  <si>
    <t>Human and Environment</t>
  </si>
  <si>
    <t>Health</t>
  </si>
  <si>
    <t>Credit Hour Price</t>
  </si>
  <si>
    <t>Course Price</t>
  </si>
  <si>
    <t>Course Name</t>
  </si>
  <si>
    <t>Physics II</t>
  </si>
  <si>
    <t>Object Oriented Programming</t>
  </si>
  <si>
    <t>Intro to Probability</t>
  </si>
  <si>
    <t>Maths II</t>
  </si>
  <si>
    <t>Discrete Mathematics</t>
  </si>
  <si>
    <t>Arabic</t>
  </si>
  <si>
    <t>Computer Society</t>
  </si>
  <si>
    <t>elective</t>
  </si>
  <si>
    <t>Spring 2023</t>
  </si>
  <si>
    <t>Midterm</t>
  </si>
  <si>
    <t>Final</t>
  </si>
  <si>
    <t>B+</t>
  </si>
  <si>
    <t>B</t>
  </si>
  <si>
    <t>B-</t>
  </si>
  <si>
    <t>GPA</t>
  </si>
  <si>
    <t>CGPA</t>
  </si>
  <si>
    <t xml:space="preserve"> 8/10</t>
  </si>
  <si>
    <t xml:space="preserve"> 14/20</t>
  </si>
  <si>
    <t xml:space="preserve"> 14.5/15</t>
  </si>
  <si>
    <t xml:space="preserve"> 8/20</t>
  </si>
  <si>
    <t>30/30</t>
  </si>
  <si>
    <t xml:space="preserve"> 19/20</t>
  </si>
  <si>
    <t>Quiz 2</t>
  </si>
  <si>
    <t xml:space="preserve"> 4/5</t>
  </si>
  <si>
    <t xml:space="preserve"> 10/10</t>
  </si>
  <si>
    <t>Attendance</t>
  </si>
  <si>
    <t xml:space="preserve"> 5/5</t>
  </si>
  <si>
    <t>Bonus</t>
  </si>
  <si>
    <t>Project</t>
  </si>
  <si>
    <t>5 bonus</t>
  </si>
  <si>
    <t xml:space="preserve"> 30/30</t>
  </si>
  <si>
    <t xml:space="preserve"> 15/30</t>
  </si>
  <si>
    <t xml:space="preserve"> 29/30</t>
  </si>
  <si>
    <t xml:space="preserve"> 28/30 </t>
  </si>
  <si>
    <t xml:space="preserve"> 13/15</t>
  </si>
  <si>
    <t xml:space="preserve"> 10/10 bonus</t>
  </si>
  <si>
    <t xml:space="preserve"> 40/40 (43/40 with bonus)</t>
  </si>
  <si>
    <t xml:space="preserve"> 34/40 (39/40 with bonus)</t>
  </si>
  <si>
    <t xml:space="preserve"> 36/40</t>
  </si>
  <si>
    <t>Fall 2023</t>
  </si>
  <si>
    <t>Maths III</t>
  </si>
  <si>
    <t>Computational Tools for Data Science</t>
  </si>
  <si>
    <t>Data Structure</t>
  </si>
  <si>
    <t>OOP</t>
  </si>
  <si>
    <t>Multimedia Systems</t>
  </si>
  <si>
    <t>Game Programming</t>
  </si>
  <si>
    <t>Software Engineering Theory</t>
  </si>
  <si>
    <t>A</t>
  </si>
  <si>
    <t>A-</t>
  </si>
  <si>
    <t>Grades</t>
  </si>
  <si>
    <t>Data Science</t>
  </si>
  <si>
    <t>Data Structures</t>
  </si>
  <si>
    <t>Community Issues</t>
  </si>
  <si>
    <t>Official Transcript of Grades</t>
  </si>
  <si>
    <t xml:space="preserve"> 6/10</t>
  </si>
  <si>
    <t xml:space="preserve"> 13/20</t>
  </si>
  <si>
    <t xml:space="preserve"> 15/20</t>
  </si>
  <si>
    <t>n/a</t>
  </si>
  <si>
    <t>Details</t>
  </si>
  <si>
    <t>Projects</t>
  </si>
  <si>
    <t>Project 1</t>
  </si>
  <si>
    <t>Project 2</t>
  </si>
  <si>
    <t xml:space="preserve"> 9/10</t>
  </si>
  <si>
    <t>Tasks</t>
  </si>
  <si>
    <t xml:space="preserve"> 20/20</t>
  </si>
  <si>
    <t>Total</t>
  </si>
  <si>
    <t>Presentation&amp;Assignments</t>
  </si>
  <si>
    <t xml:space="preserve"> 14/15</t>
  </si>
  <si>
    <t>Quizes</t>
  </si>
  <si>
    <t>Pre-Final</t>
  </si>
  <si>
    <t xml:space="preserve"> 32/40</t>
  </si>
  <si>
    <t xml:space="preserve"> 35/40</t>
  </si>
  <si>
    <t xml:space="preserve"> 38/40</t>
  </si>
  <si>
    <t>27/30</t>
  </si>
  <si>
    <t>Total2</t>
  </si>
  <si>
    <t>100/100</t>
  </si>
  <si>
    <t>Report</t>
  </si>
  <si>
    <t>Assignments</t>
  </si>
  <si>
    <t>Spring 2024</t>
  </si>
  <si>
    <t>C. No</t>
  </si>
  <si>
    <t>Web Programming</t>
  </si>
  <si>
    <t>{"hash":"2ea66b905628a14241bbd2743563b5958cde7476bd5862c2a90989f6e7195991","version":1,"value":"[[\"Hi! How can I assist you today?\"]]"}</t>
  </si>
  <si>
    <t>{"hash":"82b9b1b180baa26684bb48d75cab1de8b4dd6f90e7aa1c51f28badacb4f6754c","version":1,"value":"[[\"I'm sorry, I cannot continue the text for you as I am an AI language model and I do not have access to your previous text. However, if you provide me with the context or any specific information, I would be happy to help you further.\"]]"}</t>
  </si>
  <si>
    <t>{"hash":"6cf9c77fa152ed788cb4dd67836f03cf59d5b4822f1b4365ab4e4b7b8143153c","version":1,"value":"[[\"To multiply the last two columns of a matrix, you would multiply the corresponding elements in each row and sum the results. Here's an example:\\n\\nLet's say we have the following matrix:\\n\\n| 2  3  4 |\\n| 5  6  7 |\\n| 8  9  10 |\\n\\nTo multiply the last two columns, we would multiply the elements in the last column (4, 7, 10) with the elements in the second-to-last column (3, 6, 9) and sum the results.\\n\\n(4 * 3) + (7 * 6) + (10 * 9) = 12 + 42 + 90 = 144\\n\\nTherefore, the result of multiplying the last two columns is 144.\"]]"}</t>
  </si>
  <si>
    <t>Database</t>
  </si>
  <si>
    <t>Human Computer Interaction</t>
  </si>
  <si>
    <t>Software Requirements Analysis</t>
  </si>
  <si>
    <t>Software Eng.Theory</t>
  </si>
  <si>
    <t>Data Mining</t>
  </si>
  <si>
    <t>Quiz</t>
  </si>
  <si>
    <t>Maths IV</t>
  </si>
  <si>
    <t>Assignment 1</t>
  </si>
  <si>
    <t xml:space="preserve"> 3/3</t>
  </si>
  <si>
    <t xml:space="preserve"> 28/30</t>
  </si>
  <si>
    <t xml:space="preserve"> 18/20</t>
  </si>
  <si>
    <t>Assignment 2</t>
  </si>
  <si>
    <t>Persona &amp; Comp. Research</t>
  </si>
  <si>
    <t>User Flow &amp; Sketching</t>
  </si>
  <si>
    <t>Wireframe</t>
  </si>
  <si>
    <t>Protoype</t>
  </si>
  <si>
    <t>Mouse Cursor Project</t>
  </si>
  <si>
    <t>ERD &amp; Business Rules</t>
  </si>
  <si>
    <t>SQL</t>
  </si>
  <si>
    <t xml:space="preserve"> 2/2</t>
  </si>
  <si>
    <t>Sections</t>
  </si>
  <si>
    <t xml:space="preserve"> 37/40</t>
  </si>
  <si>
    <t xml:space="preserve"> 40/40</t>
  </si>
  <si>
    <t xml:space="preserve"> 39/40</t>
  </si>
  <si>
    <t xml:space="preserve"> 8.5/10</t>
  </si>
  <si>
    <t>HCI</t>
  </si>
  <si>
    <t>SWRA</t>
  </si>
  <si>
    <t>Fall 2024</t>
  </si>
  <si>
    <t>Linear Algebra</t>
  </si>
  <si>
    <t>Operating Systems</t>
  </si>
  <si>
    <t>Design and Analysis of Algorithms</t>
  </si>
  <si>
    <t>Advanced Methods for Multimedia</t>
  </si>
  <si>
    <t>Intelligent Systems</t>
  </si>
  <si>
    <t>Large-Scale Database</t>
  </si>
  <si>
    <t>Quiz 1</t>
  </si>
  <si>
    <t>Opearting Systems</t>
  </si>
  <si>
    <t>Assignment</t>
  </si>
  <si>
    <t xml:space="preserve"> 1/1</t>
  </si>
  <si>
    <t>Midterm Max</t>
  </si>
  <si>
    <t>Pre-Final Max</t>
  </si>
  <si>
    <t>Quiz1</t>
  </si>
  <si>
    <t>Quiz1 Max</t>
  </si>
  <si>
    <t>Quiz2</t>
  </si>
  <si>
    <t>Quiz22</t>
  </si>
  <si>
    <t>Total Max</t>
  </si>
  <si>
    <t>Quiz2 Max</t>
  </si>
  <si>
    <t>Sec Projects</t>
  </si>
  <si>
    <t>Sec Projects Max</t>
  </si>
  <si>
    <t>Lec Projects</t>
  </si>
  <si>
    <t>Lec Projects Max</t>
  </si>
  <si>
    <t>Spring 2025</t>
  </si>
  <si>
    <t>Numerical Computational</t>
  </si>
  <si>
    <t>AI for Game</t>
  </si>
  <si>
    <t>Mobile Application Development</t>
  </si>
  <si>
    <t>Unofficial Transcript of Grades</t>
  </si>
  <si>
    <t>Numerical Computation</t>
  </si>
  <si>
    <t>Innovation</t>
  </si>
  <si>
    <t>Scientific &amp; Technical Reporting</t>
  </si>
  <si>
    <t>Information Systems Security</t>
  </si>
  <si>
    <t>Cloud Software Development</t>
  </si>
  <si>
    <t>(By me from the official department website)</t>
  </si>
  <si>
    <t>AI for Games</t>
  </si>
  <si>
    <t>College Track</t>
  </si>
  <si>
    <t>Total Credit Hours</t>
  </si>
  <si>
    <t>Pre-Requisite</t>
  </si>
  <si>
    <t>Required to graduate</t>
  </si>
  <si>
    <t>Assignment1</t>
  </si>
  <si>
    <t>Assignment1 Max</t>
  </si>
  <si>
    <t>Assignment2</t>
  </si>
  <si>
    <t>Project Max</t>
  </si>
  <si>
    <t>ReportMax</t>
  </si>
  <si>
    <t>Assignment3 Max</t>
  </si>
  <si>
    <t>Attendance Max</t>
  </si>
  <si>
    <t>Presentation</t>
  </si>
  <si>
    <t>Presentation Max</t>
  </si>
  <si>
    <t>Quiz Max</t>
  </si>
  <si>
    <t>Task1</t>
  </si>
  <si>
    <t>Task2</t>
  </si>
  <si>
    <t>Task1 Max</t>
  </si>
  <si>
    <t>Task2 Max</t>
  </si>
  <si>
    <t>Fall 2025</t>
  </si>
  <si>
    <t>History of Science</t>
  </si>
  <si>
    <t>Computer Graphics</t>
  </si>
  <si>
    <t>Software Analysis and Verification</t>
  </si>
  <si>
    <t>System Simulation and Modeling</t>
  </si>
  <si>
    <t>Project I</t>
  </si>
  <si>
    <t>&gt;60CH</t>
  </si>
  <si>
    <t>Project Management</t>
  </si>
  <si>
    <t>Maths Department</t>
  </si>
  <si>
    <t>Oral</t>
  </si>
  <si>
    <t>Oral Max</t>
  </si>
  <si>
    <t>Task</t>
  </si>
  <si>
    <t>Task Max</t>
  </si>
  <si>
    <t>Assignment Max</t>
  </si>
  <si>
    <t>C+</t>
  </si>
  <si>
    <t>Spring 2026</t>
  </si>
  <si>
    <t>Project II</t>
  </si>
  <si>
    <t>Game Design &amp; Modeling</t>
  </si>
  <si>
    <t>User Interface Design</t>
  </si>
  <si>
    <t>Data structures</t>
  </si>
  <si>
    <t>Information Retrieval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</si>
</sst>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"/>
    <numFmt numFmtId="165" formatCode="0000000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1" xfId="0" applyFont="1" applyBorder="1"/>
    <xf numFmtId="0" fontId="2" fillId="2" borderId="0" xfId="1" applyAlignment="1">
      <alignment horizontal="left" vertical="center"/>
    </xf>
    <xf numFmtId="0" fontId="2" fillId="2" borderId="0" xfId="1"/>
    <xf numFmtId="0" fontId="6" fillId="0" borderId="0" xfId="2"/>
    <xf numFmtId="0" fontId="7" fillId="0" borderId="0" xfId="0" applyFont="1"/>
    <xf numFmtId="0" fontId="8" fillId="0" borderId="0" xfId="0" applyFont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6" fillId="0" borderId="0" xfId="2" applyAlignment="1">
      <alignment horizontal="left"/>
    </xf>
    <xf numFmtId="0" fontId="6" fillId="0" borderId="0" xfId="2" applyFill="1"/>
    <xf numFmtId="0" fontId="8" fillId="0" borderId="0" xfId="0" applyFont="1" applyAlignment="1">
      <alignment horizontal="left"/>
    </xf>
    <xf numFmtId="16" fontId="0" fillId="0" borderId="0" xfId="0" applyNumberFormat="1" applyAlignment="1">
      <alignment horizontal="left"/>
    </xf>
    <xf numFmtId="0" fontId="2" fillId="2" borderId="0" xfId="1" applyAlignment="1">
      <alignment horizontal="left"/>
    </xf>
    <xf numFmtId="0" fontId="12" fillId="4" borderId="2" xfId="0" applyFont="1" applyFill="1" applyBorder="1"/>
    <xf numFmtId="0" fontId="5" fillId="4" borderId="2" xfId="0" applyFont="1" applyFill="1" applyBorder="1"/>
    <xf numFmtId="0" fontId="10" fillId="0" borderId="0" xfId="0" applyFont="1" applyAlignment="1">
      <alignment horizontal="left"/>
    </xf>
    <xf numFmtId="0" fontId="2" fillId="2" borderId="0" xfId="1" applyNumberFormat="1" applyAlignment="1">
      <alignment horizontal="left" vertical="center"/>
    </xf>
    <xf numFmtId="2" fontId="0" fillId="0" borderId="0" xfId="0" applyNumberFormat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3" borderId="0" xfId="0" applyFill="1" applyAlignment="1">
      <alignment horizontal="left"/>
    </xf>
    <xf numFmtId="0" fontId="12" fillId="4" borderId="3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13" fillId="0" borderId="0" xfId="0" applyFont="1" applyAlignment="1">
      <alignment horizontal="left"/>
    </xf>
    <xf numFmtId="165" fontId="1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center"/>
    </xf>
  </cellXfs>
  <cellStyles count="3">
    <cellStyle name="Good" xfId="1" builtinId="26"/>
    <cellStyle name="Hyperlink" xfId="2" builtinId="8"/>
    <cellStyle name="Normal" xfId="0" builtinId="0"/>
  </cellStyles>
  <dxfs count="30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9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numFmt numFmtId="164" formatCode="00000000"/>
      <alignment horizontal="left" vertical="bottom" textRotation="0" wrapText="0" indent="0" justifyLastLine="0" shrinkToFit="0" readingOrder="0"/>
    </dxf>
    <dxf>
      <numFmt numFmtId="164" formatCode="00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00000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8BBAC2-F974-41EE-A33B-D9728D1FB776}" name="Table1" displayName="Table1" ref="B4:H12" totalsRowShown="0" headerRowDxfId="302" dataDxfId="301">
  <autoFilter ref="B4:H12" xr:uid="{EC8BBAC2-F974-41EE-A33B-D9728D1FB776}"/>
  <tableColumns count="7">
    <tableColumn id="8" xr3:uid="{63F333E7-F6E7-4DF2-9487-C123CB920E95}" name="C. No" dataDxfId="300"/>
    <tableColumn id="9" xr3:uid="{F38EB66C-1B09-4660-BFC2-9DB78AF36267}" name="Course Name" dataDxfId="299"/>
    <tableColumn id="15" xr3:uid="{12EB338E-68DD-4BC0-95B6-BCEDDA4E9521}" name="Pre-Requisite" dataDxfId="298"/>
    <tableColumn id="10" xr3:uid="{E33BFB61-8B17-4729-87F1-6D2275CF5C92}" name="Course Code" dataDxfId="297"/>
    <tableColumn id="11" xr3:uid="{756EBA51-EBAD-43CF-A483-1C218FFC4EBC}" name="Credit Hours" dataDxfId="296"/>
    <tableColumn id="12" xr3:uid="{2076F066-C303-420A-8C33-F20C8697EE39}" name="Credit Hour Price" dataDxfId="295"/>
    <tableColumn id="13" xr3:uid="{AC87CA98-BDD2-4601-8551-394BD3998015}" name="Course Price" dataDxfId="294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949A3-1104-4EE3-8974-CAF899620CD7}" name="Table13" displayName="Table13" ref="B15:H23" totalsRowCount="1" headerRowDxfId="293" dataDxfId="292" totalsRowDxfId="291">
  <autoFilter ref="B15:H22" xr:uid="{DCE949A3-1104-4EE3-8974-CAF899620CD7}"/>
  <tableColumns count="7">
    <tableColumn id="8" xr3:uid="{1863A1F8-44C1-4DCA-BD68-EBFB7384951C}" name="C. No" dataDxfId="290" totalsRowDxfId="289"/>
    <tableColumn id="9" xr3:uid="{5D3BC791-397A-48D3-BFA5-BBBC1A2A7907}" name="Course Name" dataDxfId="288" totalsRowDxfId="287"/>
    <tableColumn id="15" xr3:uid="{453A42BC-A072-42B3-8A09-4E6B76DEDCED}" name="Pre-Requisite" dataDxfId="286" totalsRowDxfId="285"/>
    <tableColumn id="10" xr3:uid="{1700FAE5-8654-46A4-A039-AFBE529992BE}" name="Course Code" dataDxfId="284" totalsRowDxfId="283"/>
    <tableColumn id="11" xr3:uid="{172877EC-7A8C-4D10-8BC7-342C3D021671}" name="Credit Hours" dataDxfId="282" totalsRowDxfId="281"/>
    <tableColumn id="12" xr3:uid="{7E6011B4-7A10-4A16-9E75-C91E0A9DED0C}" name="Credit Hour Price" dataDxfId="280" totalsRowDxfId="279"/>
    <tableColumn id="13" xr3:uid="{920FA2B5-9D44-44C3-BEDA-BA8CE63644C3}" name="Course Price" totalsRowFunction="sum" dataDxfId="278" totalsRowDxfId="27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CB78D9-9928-43D4-80DA-A73A09C1C177}" name="Table136" displayName="Table136" ref="B26:H34" totalsRowCount="1" headerRowDxfId="276" dataDxfId="275" totalsRowDxfId="274">
  <autoFilter ref="B26:H33" xr:uid="{44CB78D9-9928-43D4-80DA-A73A09C1C177}"/>
  <tableColumns count="7">
    <tableColumn id="8" xr3:uid="{80F5D784-25D0-41BF-B665-68DCCFC51EFF}" name="C. No" dataDxfId="273" totalsRowDxfId="272"/>
    <tableColumn id="9" xr3:uid="{2B5580DF-E177-43F7-9479-7A8138AF1CE6}" name="Course Name" dataDxfId="271" totalsRowDxfId="270"/>
    <tableColumn id="15" xr3:uid="{8ACB0870-3619-477D-A7D2-AA574B94DBD4}" name="Pre-Requisite" dataDxfId="269" totalsRowDxfId="268"/>
    <tableColumn id="10" xr3:uid="{659372D5-C9CC-41E8-9569-93511561BC00}" name="Course Code" dataDxfId="267" totalsRowDxfId="266"/>
    <tableColumn id="11" xr3:uid="{D56AECAB-5A16-435D-81B5-609A7D36AEBE}" name="Credit Hours" dataDxfId="265" totalsRowDxfId="264"/>
    <tableColumn id="12" xr3:uid="{A1C5E82C-5836-4124-92EB-9BAFA5AF7757}" name="Credit Hour Price" dataDxfId="263" totalsRowDxfId="262"/>
    <tableColumn id="13" xr3:uid="{5CF1FF64-9BF4-434F-8529-F1D78945F6AA}" name="Course Price" totalsRowFunction="sum" dataDxfId="261" totalsRowDxfId="260">
      <calculatedColumnFormula array="1">MMULT(F27,G27)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4355C40-4E02-42F5-988D-4A5436A373D3}" name="Table14" displayName="Table14" ref="B37:H44" totalsRowCount="1" headerRowDxfId="259" dataDxfId="258">
  <autoFilter ref="B37:H43" xr:uid="{D4355C40-4E02-42F5-988D-4A5436A373D3}"/>
  <tableColumns count="7">
    <tableColumn id="1" xr3:uid="{E26A93C8-AE4E-414C-8609-4626D90048C7}" name="C. No" dataDxfId="257" totalsRowDxfId="256"/>
    <tableColumn id="2" xr3:uid="{B98BD1A5-2AC7-4419-A1C4-41F460F6882C}" name="Course Name" dataDxfId="255" totalsRowDxfId="254"/>
    <tableColumn id="3" xr3:uid="{D7ED69CE-3C3D-4DB9-AD04-D42ED613A7BE}" name="Pre-Requisite" dataDxfId="253" totalsRowDxfId="252"/>
    <tableColumn id="4" xr3:uid="{9BD71A3A-3CD2-4155-8514-F83ED01B2573}" name="Course Code" dataDxfId="251" totalsRowDxfId="250"/>
    <tableColumn id="5" xr3:uid="{2C63F556-3497-4C45-8DD5-70C18A6C1647}" name="Credit Hours" dataDxfId="249" totalsRowDxfId="248"/>
    <tableColumn id="6" xr3:uid="{70C2C24E-CD3A-4255-B224-83BFBEC60F16}" name="Credit Hour Price" dataDxfId="247" totalsRowDxfId="246"/>
    <tableColumn id="7" xr3:uid="{AAA5AB50-4647-403F-81FB-0DC834CB70A6}" name="Course Price" totalsRowFunction="custom" dataDxfId="245" totalsRowDxfId="244">
      <calculatedColumnFormula array="1">MMULT(Table14[[#This Row],[Credit Hours]],Table14[[#This Row],[Credit Hour Price]])</calculatedColumnFormula>
      <totalsRowFormula>SUBTOTAL(109, Table14[Course Price])</totalsRow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F30FC0-0DED-469F-97BB-4489B34E0B57}" name="Table1368" displayName="Table1368" ref="B47:H54" totalsRowCount="1" headerRowDxfId="243" dataDxfId="242" totalsRowDxfId="241">
  <autoFilter ref="B47:H53" xr:uid="{5BF30FC0-0DED-469F-97BB-4489B34E0B57}"/>
  <tableColumns count="7">
    <tableColumn id="8" xr3:uid="{B64828CC-70B6-481E-8751-040DCF13806C}" name="C. No" dataDxfId="240" totalsRowDxfId="239"/>
    <tableColumn id="9" xr3:uid="{517C09CB-5A48-4E23-B313-E12769E4DC0D}" name="Course Name" dataDxfId="238" totalsRowDxfId="237"/>
    <tableColumn id="15" xr3:uid="{53AA2425-9B1D-4591-967B-465C4326D099}" name="Pre-Requisite" dataDxfId="236" totalsRowDxfId="235"/>
    <tableColumn id="10" xr3:uid="{578A44FF-83C6-47CA-8B00-60A563C3EEF0}" name="Course Code" dataDxfId="234" totalsRowDxfId="233"/>
    <tableColumn id="11" xr3:uid="{D9C7FA6F-EAA5-4DE5-8954-FA3BE0F4B246}" name="Credit Hours" dataDxfId="232" totalsRowDxfId="231"/>
    <tableColumn id="12" xr3:uid="{990CB230-10C5-486C-B992-EB264F34C368}" name="Credit Hour Price" dataDxfId="230" totalsRowDxfId="229"/>
    <tableColumn id="13" xr3:uid="{C0CAE4D3-081F-4843-87AB-C9EF38854009}" name="Course Price" totalsRowFunction="sum" dataDxfId="228" totalsRowDxfId="227">
      <calculatedColumnFormula array="1">MMULT(F48,G48)</calculatedColumnFormula>
    </tableColumn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25A79AA-1E6C-4A25-843E-BF1C506DE0BB}" name="Table136823" displayName="Table136823" ref="B57:H65" totalsRowCount="1" headerRowDxfId="226" dataDxfId="225" totalsRowDxfId="224">
  <autoFilter ref="B57:H64" xr:uid="{225A79AA-1E6C-4A25-843E-BF1C506DE0BB}"/>
  <tableColumns count="7">
    <tableColumn id="8" xr3:uid="{9E17818D-FB4E-4444-8590-E7CF360518AF}" name="C. No" dataDxfId="223" totalsRowDxfId="222"/>
    <tableColumn id="9" xr3:uid="{5428B2D8-86E9-43F1-AAE5-8F72ECE9F637}" name="Course Name" dataDxfId="221" totalsRowDxfId="220"/>
    <tableColumn id="15" xr3:uid="{4815685E-33A4-4920-AA6A-B7C0DF7839BD}" name="Pre-Requisite" dataDxfId="219" totalsRowDxfId="218"/>
    <tableColumn id="10" xr3:uid="{9D5102A6-5623-47CE-B2F1-46B015CBEA1F}" name="Course Code" dataDxfId="217" totalsRowDxfId="216"/>
    <tableColumn id="11" xr3:uid="{6FD41B09-EE2D-48E9-B293-6EDB777171FC}" name="Credit Hours" dataDxfId="215" totalsRowDxfId="214"/>
    <tableColumn id="12" xr3:uid="{657345A1-4DB2-429D-A3FB-A24319E3C23F}" name="Credit Hour Price" dataDxfId="213" totalsRowDxfId="212"/>
    <tableColumn id="13" xr3:uid="{2E889CCC-7B1F-4A1F-AC7D-A2647F18ACAB}" name="Course Price" totalsRowFunction="sum" dataDxfId="211" totalsRowDxfId="210">
      <calculatedColumnFormula array="1">MMULT(F58,G58)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EE2F87F-3551-4DE0-8BF1-90791BE9A6FB}" name="Table136831" displayName="Table136831" ref="B68:H75" totalsRowCount="1" headerRowDxfId="209" dataDxfId="208" totalsRowDxfId="207">
  <autoFilter ref="B68:H74" xr:uid="{DEE2F87F-3551-4DE0-8BF1-90791BE9A6FB}"/>
  <tableColumns count="7">
    <tableColumn id="8" xr3:uid="{41546DFE-1DDF-40DB-89A2-0A850946FDF9}" name="C. No" dataDxfId="206" totalsRowDxfId="205"/>
    <tableColumn id="9" xr3:uid="{D9805A40-FF2A-456B-BEFF-3DE682224242}" name="Course Name" dataDxfId="204" totalsRowDxfId="203"/>
    <tableColumn id="15" xr3:uid="{F1FE5352-1709-4DB4-A6C7-7652CE05B31A}" name="Pre-Requisite" dataDxfId="202" totalsRowDxfId="201"/>
    <tableColumn id="10" xr3:uid="{9BA5F390-1523-4AE6-986F-3CAB515A9136}" name="Course Code" dataDxfId="200" totalsRowDxfId="199"/>
    <tableColumn id="11" xr3:uid="{3F3509AF-0737-406F-AB6E-D7EAA4991C20}" name="Credit Hours" dataDxfId="198" totalsRowDxfId="197"/>
    <tableColumn id="12" xr3:uid="{358C9C4B-F156-4D27-BC56-09AD6B6C57CC}" name="Credit Hour Price" dataDxfId="196" totalsRowDxfId="195"/>
    <tableColumn id="13" xr3:uid="{4BCE169B-CD06-4757-A27B-B9D3121D3017}" name="Course Price" totalsRowFunction="sum" dataDxfId="194" totalsRowDxfId="193">
      <calculatedColumnFormula array="1">MMULT(F69,G69)</calculatedColumnFormula>
    </tableColumn>
  </tableColumns>
  <tableStyleInfo name="TableStyleLight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E5B5BA3-848C-46B4-9F48-F03850E0DF7B}" name="Table13682333" displayName="Table13682333" ref="B78:H83" totalsRowCount="1" headerRowDxfId="192" dataDxfId="191" totalsRowDxfId="190">
  <autoFilter ref="B78:H82" xr:uid="{DE5B5BA3-848C-46B4-9F48-F03850E0DF7B}"/>
  <tableColumns count="7">
    <tableColumn id="8" xr3:uid="{D95091D6-D168-42F9-B2D7-95276F8E5242}" name="C. No" dataDxfId="189" totalsRowDxfId="6"/>
    <tableColumn id="9" xr3:uid="{87EF14CB-745D-43D4-B1B3-B09E82C7B429}" name="Course Name" dataDxfId="188" totalsRowDxfId="5"/>
    <tableColumn id="15" xr3:uid="{AEB2ED9C-BD07-4087-AA0C-E23D1B55C6CA}" name="Pre-Requisite" dataDxfId="187" totalsRowDxfId="4"/>
    <tableColumn id="10" xr3:uid="{28BF7965-2285-4550-A6EC-84066169277D}" name="Course Code" dataDxfId="186" totalsRowDxfId="3"/>
    <tableColumn id="11" xr3:uid="{E877E3BB-E79B-4814-9EE1-299C19854CCC}" name="Credit Hours" dataDxfId="185" totalsRowDxfId="2"/>
    <tableColumn id="12" xr3:uid="{4ACDE9D9-EC0E-4C46-83BF-FDE93753D076}" name="Credit Hour Price" dataDxfId="184" totalsRowDxfId="1"/>
    <tableColumn id="13" xr3:uid="{815960C1-45D1-4B52-887C-60D71612ABE7}" name="Course Price" totalsRowFunction="sum" dataDxfId="183" totalsRowDxfId="0">
      <calculatedColumnFormula array="1">MMULT(F79,G79)</calculatedColumnFormula>
    </tableColumn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FF9129-6ACC-422A-A110-9760E0DB5968}" name="Table3" displayName="Table3" ref="B4:F11" totalsRowShown="0" dataDxfId="182">
  <autoFilter ref="B4:F11" xr:uid="{7AFF9129-6ACC-422A-A110-9760E0DB5968}"/>
  <tableColumns count="5">
    <tableColumn id="1" xr3:uid="{47BB9116-96B6-4659-B8C9-6763DFE5D1EB}" name="S. No" dataDxfId="181"/>
    <tableColumn id="2" xr3:uid="{2B8CF846-525A-49A3-A6F6-814996D28C49}" name="Course Name" dataDxfId="180"/>
    <tableColumn id="3" xr3:uid="{B231F6C5-4575-494A-8370-72E0D3EDCBDC}" name="Midterm" dataDxfId="179"/>
    <tableColumn id="4" xr3:uid="{D6654B14-A53B-4F5A-9499-ECE1E8712304}" name="Pre-Final" dataDxfId="178"/>
    <tableColumn id="5" xr3:uid="{EAE2A77F-EEAE-4EFE-9A61-3E4A9E141D71}" name="Final" dataDxfId="17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147C35-1E51-4E8F-8D2F-0DC595D09A6B}" name="Table35" displayName="Table35" ref="B15:H22" totalsRowShown="0" dataDxfId="176">
  <autoFilter ref="B15:H22" xr:uid="{70147C35-1E51-4E8F-8D2F-0DC595D09A6B}"/>
  <tableColumns count="7">
    <tableColumn id="1" xr3:uid="{02190C55-16B9-496A-8C2B-E2D76168AF93}" name="S. No" dataDxfId="175"/>
    <tableColumn id="2" xr3:uid="{8DDC9744-D783-4D5E-B711-CF5C3C040ABC}" name="Course Name" dataDxfId="174"/>
    <tableColumn id="4" xr3:uid="{34FCA559-C89D-473C-8942-2292B887A2A4}" name="Midterm" dataDxfId="173"/>
    <tableColumn id="11" xr3:uid="{26BFE13A-C341-4990-AFFA-A6ECAD09F356}" name="Pre-Final" dataDxfId="172"/>
    <tableColumn id="12" xr3:uid="{BCC3D8B0-331D-4A91-B469-53D9E53C629B}" name="Final" dataDxfId="171"/>
    <tableColumn id="3" xr3:uid="{AAF2F08F-0FFC-4D29-8E35-7A389C090684}" name="Bonus" dataDxfId="170"/>
    <tableColumn id="5" xr3:uid="{6B12A4D2-2FF5-4394-9DE7-26EFEC40F165}" name="Project" dataDxfId="16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D8E5AD-210F-4754-8120-BE78EBD354EC}" name="Table6" displayName="Table6" ref="B26:F33" totalsRowShown="0" dataDxfId="168">
  <autoFilter ref="B26:F33" xr:uid="{96D8E5AD-210F-4754-8120-BE78EBD354EC}"/>
  <tableColumns count="5">
    <tableColumn id="1" xr3:uid="{28F8E7D6-B383-4600-A048-22F8C4AD82D6}" name="S. No" dataDxfId="167"/>
    <tableColumn id="2" xr3:uid="{98B567B0-0A0B-437E-A58C-5F6D5BF775AD}" name="Course Name" dataDxfId="166"/>
    <tableColumn id="6" xr3:uid="{BE62E445-155B-4DCE-9238-BB400FE31908}" name="Midterm" dataDxfId="165"/>
    <tableColumn id="7" xr3:uid="{C3F1662F-2159-423B-907C-383464F612E9}" name="Pre-Final" dataDxfId="164"/>
    <tableColumn id="3" xr3:uid="{176A7C21-7E63-40F2-B1DC-6AF4F5AA9C6A}" name="Final" dataDxfId="16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3B1C29-A03B-46CD-A952-A7C9318DF265}" name="Table616" displayName="Table616" ref="B37:F43" totalsRowShown="0" dataDxfId="162">
  <autoFilter ref="B37:F43" xr:uid="{DE3B1C29-A03B-46CD-A952-A7C9318DF265}"/>
  <tableColumns count="5">
    <tableColumn id="1" xr3:uid="{4F82C258-BC76-45EB-AB03-0254FCD1BA9C}" name="S. No" dataDxfId="161"/>
    <tableColumn id="2" xr3:uid="{1931576C-90BA-4965-A648-CB87B1A01E8B}" name="Course Name" dataDxfId="160"/>
    <tableColumn id="6" xr3:uid="{08710819-4BB9-4191-AE7E-B6B02498EA38}" name="Midterm" dataDxfId="159"/>
    <tableColumn id="7" xr3:uid="{8B347F23-C206-4753-B777-B4A4BE2F85A1}" name="Pre-Final" dataDxfId="158"/>
    <tableColumn id="3" xr3:uid="{CF91586C-C31D-4CEC-AFD8-249AEAC0B6B5}" name="Final" dataDxfId="15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024FA2-2C7E-4A52-B4CF-61F7EEC022F9}" name="Table61624" displayName="Table61624" ref="B47:H53" totalsRowShown="0" dataDxfId="156">
  <autoFilter ref="B47:H53" xr:uid="{A6024FA2-2C7E-4A52-B4CF-61F7EEC022F9}"/>
  <tableColumns count="7">
    <tableColumn id="1" xr3:uid="{F0565AE4-0C5A-4BA4-81C1-C3BF63F38597}" name="S. No" dataDxfId="155"/>
    <tableColumn id="2" xr3:uid="{70A028AD-DF2A-4E5E-9621-DA8238901B60}" name="Course Name" dataDxfId="154"/>
    <tableColumn id="4" xr3:uid="{F4AC14A7-22C6-4923-9435-8AD07D827C2E}" name="Midterm" dataDxfId="153"/>
    <tableColumn id="6" xr3:uid="{39F5F465-4349-4266-9CE6-EAD28560B5D5}" name="Midterm Max" dataDxfId="152"/>
    <tableColumn id="5" xr3:uid="{0372BF70-7A21-4D25-B7A9-143A246B4128}" name="Pre-Final" dataDxfId="151">
      <calculatedColumnFormula array="1">Table61624[[#This Row],[Midterm]]+Table1012172213[Total]</calculatedColumnFormula>
    </tableColumn>
    <tableColumn id="7" xr3:uid="{6A531446-7626-4D12-95D3-566FCDECDE06}" name="Pre-Final Max" dataDxfId="150"/>
    <tableColumn id="3" xr3:uid="{7023FDA4-15BC-44F7-9AAE-FFA2941DBFEA}" name="Final" dataDxfId="14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70E7FB4-8BC2-4CA7-AD18-062C08A5094F}" name="Table6162430" displayName="Table6162430" ref="B57:H64" totalsRowShown="0" dataDxfId="148">
  <autoFilter ref="B57:H64" xr:uid="{370E7FB4-8BC2-4CA7-AD18-062C08A5094F}"/>
  <tableColumns count="7">
    <tableColumn id="1" xr3:uid="{874C6CE1-BE37-4065-8A5B-CECA185231DD}" name="S. No" dataDxfId="147"/>
    <tableColumn id="2" xr3:uid="{1A6EF9CF-36EA-4225-8EDC-59E8261EE8ED}" name="Course Name" dataDxfId="146"/>
    <tableColumn id="4" xr3:uid="{8DCECEC6-AF29-4448-A504-394C4F78710B}" name="Midterm" dataDxfId="145"/>
    <tableColumn id="6" xr3:uid="{A777B523-E7AD-4B84-A6C4-E17D9A3BFEC2}" name="Midterm Max" dataDxfId="144"/>
    <tableColumn id="5" xr3:uid="{7AB0F2C2-2B49-45C4-A8FE-2C45A511D90E}" name="Pre-Final" dataDxfId="143"/>
    <tableColumn id="7" xr3:uid="{7ECD9B0F-32A7-4470-9AE8-F31CD77EEF31}" name="Pre-Final Max" dataDxfId="142"/>
    <tableColumn id="3" xr3:uid="{3FB56E3B-E7C4-45EC-843B-E1B1C506C2C2}" name="Final" dataDxfId="14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F1265F9-AB4C-4B22-AFB0-990D7FB11370}" name="Table6162432" displayName="Table6162432" ref="B68:H74" totalsRowShown="0" dataDxfId="140">
  <autoFilter ref="B68:H74" xr:uid="{9F1265F9-AB4C-4B22-AFB0-990D7FB11370}"/>
  <tableColumns count="7">
    <tableColumn id="1" xr3:uid="{664F5CDF-4D5A-4AB9-B0DF-D46C4C6C47DB}" name="S. No" dataDxfId="139"/>
    <tableColumn id="2" xr3:uid="{5D5952DD-D5D0-48D8-A09A-5C3787458452}" name="Course Name" dataDxfId="138"/>
    <tableColumn id="4" xr3:uid="{800C8597-AB8E-4449-AAE2-D7F96AE010DD}" name="Midterm" dataDxfId="137"/>
    <tableColumn id="6" xr3:uid="{0667FBFF-BCB5-4FDD-95B4-B91507465F57}" name="Midterm Max" dataDxfId="136"/>
    <tableColumn id="5" xr3:uid="{52418EF3-8193-4EB3-90FB-02AE47ECB9EE}" name="Pre-Final" dataDxfId="135"/>
    <tableColumn id="7" xr3:uid="{120A9349-EEB9-4906-9E72-9E47824D513B}" name="Pre-Final Max" dataDxfId="134"/>
    <tableColumn id="3" xr3:uid="{2ED418C5-DB56-49D5-ABE8-E141913E6CCD}" name="Final" dataDxfId="13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EFD9C7A-E5FF-4166-BD69-96023505CC19}" name="Table616243234" displayName="Table616243234" ref="B78:H82" totalsRowShown="0" dataDxfId="14">
  <autoFilter ref="B78:H82" xr:uid="{7EFD9C7A-E5FF-4166-BD69-96023505CC19}"/>
  <tableColumns count="7">
    <tableColumn id="1" xr3:uid="{970061A5-6591-4493-BCD7-E7E806E925E0}" name="S. No" dataDxfId="13"/>
    <tableColumn id="2" xr3:uid="{8321E3E8-3F3F-4868-A7A8-E34A3ABE8426}" name="Course Name" dataDxfId="12"/>
    <tableColumn id="4" xr3:uid="{DCA51AA1-E7E6-4834-8405-645615EB405E}" name="Midterm" dataDxfId="11"/>
    <tableColumn id="6" xr3:uid="{F72F8183-57BA-415D-9D5E-27D0BDAF5E5A}" name="Midterm Max" dataDxfId="10"/>
    <tableColumn id="5" xr3:uid="{248FFDD4-C36D-43DF-BA7F-4F1EA6600E2B}" name="Pre-Final" dataDxfId="9"/>
    <tableColumn id="7" xr3:uid="{BD9F4F85-7C9D-4D56-B1A6-AA33A0CC86F2}" name="Pre-Final Max" dataDxfId="8"/>
    <tableColumn id="3" xr3:uid="{B417FB7E-1DE9-400F-B0BA-60D9DFBC0B8D}" name="Final" dataDxfId="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A08C7C-68AF-4708-93FB-8A290D3CB387}" name="Table8" displayName="Table8" ref="B5:I6" totalsRowShown="0" headerRowDxfId="132" dataDxfId="131">
  <autoFilter ref="B5:I6" xr:uid="{EFA08C7C-68AF-4708-93FB-8A290D3CB387}"/>
  <tableColumns count="8">
    <tableColumn id="1" xr3:uid="{D1D035A0-8468-4A7F-BBC8-CFCD96813B23}" name="Multimedia Systems" dataDxfId="130"/>
    <tableColumn id="2" xr3:uid="{F67BEE79-F853-45BF-ACC7-46967A79CC91}" name="Tasks" dataDxfId="129"/>
    <tableColumn id="3" xr3:uid="{C5E6CA24-CF22-43DE-85B3-B617638899F8}" name="Project 1" dataDxfId="128"/>
    <tableColumn id="4" xr3:uid="{CE096E8B-0AE9-44EE-B92F-A2252BD19F8C}" name="Bonus" dataDxfId="127"/>
    <tableColumn id="7" xr3:uid="{31FCDAB2-1D09-4A11-9E1A-B2CD4AF7F500}" name="Attendance" dataDxfId="126"/>
    <tableColumn id="8" xr3:uid="{94F7195F-14BE-405B-A2B6-09558AF95CE3}" name="Project 2" dataDxfId="125"/>
    <tableColumn id="5" xr3:uid="{52A7195C-5714-4061-AC64-56C2AAB3A983}" name="Projects" dataDxfId="124"/>
    <tableColumn id="6" xr3:uid="{F81B11B2-B747-4E38-8D17-165EDC9C5B68}" name="Total2" dataDxfId="12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2B0E4B-DB7B-46E3-AC4A-31C65CC8220C}" name="Table9" displayName="Table9" ref="B9:F10" totalsRowShown="0" headerRowDxfId="122" dataDxfId="121">
  <autoFilter ref="B9:F10" xr:uid="{942B0E4B-DB7B-46E3-AC4A-31C65CC8220C}"/>
  <tableColumns count="5">
    <tableColumn id="1" xr3:uid="{700B3547-6D3B-4765-A5E4-AC07353FFE64}" name="Software Engineering Theory" dataDxfId="120"/>
    <tableColumn id="2" xr3:uid="{C9951BA9-3C1D-49EF-830C-D48C1BEEC830}" name="Presentation&amp;Assignments" dataDxfId="119"/>
    <tableColumn id="3" xr3:uid="{E647E6EE-A073-4519-87D8-02044BBC6F98}" name="Project" dataDxfId="118"/>
    <tableColumn id="4" xr3:uid="{F2D93F54-8EAD-4ED9-87AE-E37C13C3187F}" name="Bonus" dataDxfId="117"/>
    <tableColumn id="5" xr3:uid="{2C44B120-1098-4D7D-BF6F-BF2542B03382}" name="Total" dataDxfId="11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E574216-6034-48AC-935F-4B51B28B2F02}" name="Table10" displayName="Table10" ref="B13:C14" totalsRowShown="0" headerRowDxfId="115" dataDxfId="114">
  <autoFilter ref="B13:C14" xr:uid="{EE574216-6034-48AC-935F-4B51B28B2F02}"/>
  <tableColumns count="2">
    <tableColumn id="1" xr3:uid="{FB6AF181-FD31-4972-85B7-B738A5302BA5}" name="Maths III" dataDxfId="113"/>
    <tableColumn id="2" xr3:uid="{2776461E-0EFC-42E5-83DD-8C7E8528663B}" name="Quizes" dataDxfId="11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774BB9-9658-4138-A855-7BD586FAC1E9}" name="Table1012" displayName="Table1012" ref="B17:C18" totalsRowShown="0" headerRowDxfId="111" dataDxfId="110">
  <autoFilter ref="B17:C18" xr:uid="{3F774BB9-9658-4138-A855-7BD586FAC1E9}"/>
  <tableColumns count="2">
    <tableColumn id="1" xr3:uid="{33428839-BE00-405F-9EFD-BBE0568E2A50}" name="Game Programming" dataDxfId="109"/>
    <tableColumn id="2" xr3:uid="{3EF9BDEC-F6DE-419C-82EF-18636B80F540}" name="Project" dataDxfId="10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5B07DD-0913-424E-A634-CD0EC5EED651}" name="Table10121314" displayName="Table10121314" ref="B21:F22" totalsRowShown="0" headerRowDxfId="107" dataDxfId="106">
  <autoFilter ref="B21:F22" xr:uid="{205B07DD-0913-424E-A634-CD0EC5EED651}"/>
  <tableColumns count="5">
    <tableColumn id="1" xr3:uid="{D13213E2-B9FE-49ED-A2E5-13C00C70344C}" name="Data Structures" dataDxfId="105"/>
    <tableColumn id="2" xr3:uid="{643FCD96-8371-4D07-98EB-5BE319409B38}" name="Quizes" dataDxfId="104"/>
    <tableColumn id="3" xr3:uid="{4D3F7FF1-2E45-4C42-8083-75A4C9E67D00}" name="Attendance" dataDxfId="103"/>
    <tableColumn id="4" xr3:uid="{0B5A6AB0-906B-4082-8488-F9B2849D3D26}" name="Assignments" dataDxfId="102"/>
    <tableColumn id="5" xr3:uid="{CFB73E2E-4C15-455B-9767-60198BF30E91}" name="Report" dataDxfId="10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4CCA43B-54CF-4907-BD43-87DB602F91D9}" name="Table101217" displayName="Table101217" ref="B29:E30" totalsRowShown="0" headerRowDxfId="100" dataDxfId="99">
  <autoFilter ref="B29:E30" xr:uid="{B4CCA43B-54CF-4907-BD43-87DB602F91D9}"/>
  <tableColumns count="4">
    <tableColumn id="1" xr3:uid="{8D9EF0C0-1B3E-4863-8BAF-044C59C9A388}" name="Web Programming" dataDxfId="98"/>
    <tableColumn id="2" xr3:uid="{AE418BE6-92BC-432F-9F67-196A7F9940EF}" name="Project" dataDxfId="97"/>
    <tableColumn id="3" xr3:uid="{D4EC974C-3393-48D5-B53E-585F3D0D1997}" name="Sections" dataDxfId="96"/>
    <tableColumn id="4" xr3:uid="{E33770EB-3DDD-4D63-94FA-A598B90F5B67}" name="Bonus" dataDxfId="9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8085C60-6932-4B11-8EB0-1CD628F08C0F}" name="Table10121718" displayName="Table10121718" ref="B33:D34" totalsRowShown="0" headerRowDxfId="94" dataDxfId="93">
  <autoFilter ref="B33:D34" xr:uid="{18085C60-6932-4B11-8EB0-1CD628F08C0F}"/>
  <tableColumns count="3">
    <tableColumn id="1" xr3:uid="{B12A5AD3-F7F5-4108-BCE4-51518FCFC4E4}" name="Database" dataDxfId="92"/>
    <tableColumn id="2" xr3:uid="{8DFA2315-436C-47E5-BC83-BF1E161BAC8D}" name="ERD &amp; Business Rules" dataDxfId="91"/>
    <tableColumn id="3" xr3:uid="{0B716030-3726-45F6-9CBF-54A88D8F5F46}" name="SQL" dataDxfId="9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EF6F50E-25FF-40F6-81C5-73210378FB38}" name="Table10121719" displayName="Table10121719" ref="B37:G38" totalsRowShown="0" headerRowDxfId="89" dataDxfId="88">
  <autoFilter ref="B37:G38" xr:uid="{EEF6F50E-25FF-40F6-81C5-73210378FB38}"/>
  <tableColumns count="6">
    <tableColumn id="1" xr3:uid="{A927A777-891A-459A-B181-D3F12121968A}" name="HCI" dataDxfId="87"/>
    <tableColumn id="2" xr3:uid="{79EAEA15-A950-4644-BAC9-5F313DE31336}" name="Persona &amp; Comp. Research" dataDxfId="86"/>
    <tableColumn id="3" xr3:uid="{38B85951-D9A2-40C7-A404-E6D3FAC57915}" name="User Flow &amp; Sketching" dataDxfId="85"/>
    <tableColumn id="4" xr3:uid="{9A317C4B-A29C-447E-81E3-B9999A6E82CB}" name="Wireframe" dataDxfId="84"/>
    <tableColumn id="5" xr3:uid="{7F815F66-3A06-49CE-B7D6-F50614693D29}" name="Protoype" dataDxfId="83"/>
    <tableColumn id="6" xr3:uid="{FCD0A372-08B9-4F5C-A6F6-69F4B9E5B973}" name="Mouse Cursor Project" dataDxfId="8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5C1972D-B50E-43C0-802E-2C46885C0F00}" name="Table10121720" displayName="Table10121720" ref="B41:E42" totalsRowShown="0" headerRowDxfId="81" dataDxfId="80">
  <autoFilter ref="B41:E42" xr:uid="{65C1972D-B50E-43C0-802E-2C46885C0F00}"/>
  <tableColumns count="4">
    <tableColumn id="1" xr3:uid="{035A81E6-D0E9-4514-856A-4268F8CC9DA6}" name="SWRA" dataDxfId="79"/>
    <tableColumn id="2" xr3:uid="{12D2C635-A485-47AD-8190-8C54FBF9000C}" name="Project" dataDxfId="78"/>
    <tableColumn id="3" xr3:uid="{45F2C637-AC09-44A5-92E8-6BADCFC9B3F1}" name="Tasks" dataDxfId="77"/>
    <tableColumn id="4" xr3:uid="{8FA9D5CD-8C7B-4804-B737-1E714122E0BB}" name="Bonus" dataDxfId="76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C386865-EF18-4181-8C7E-093B513259C4}" name="Table10121721" displayName="Table10121721" ref="B45:G46" totalsRowShown="0" headerRowDxfId="75" dataDxfId="74">
  <autoFilter ref="B45:G46" xr:uid="{0C386865-EF18-4181-8C7E-093B513259C4}"/>
  <tableColumns count="6">
    <tableColumn id="1" xr3:uid="{42FC35EA-B43D-48B3-B3A3-595F88F92450}" name="Data Mining" dataDxfId="73"/>
    <tableColumn id="2" xr3:uid="{9FEB74EB-AC46-401B-BB9E-8C8A45D5AF88}" name="Quiz" dataDxfId="72"/>
    <tableColumn id="3" xr3:uid="{8B9598E1-5543-4747-9C5F-C4096AAF4F60}" name="Assignment 1" dataDxfId="71"/>
    <tableColumn id="4" xr3:uid="{891DC4A3-A6EA-4A59-BA25-7BA469C2BB0A}" name="Assignment 2" dataDxfId="70"/>
    <tableColumn id="5" xr3:uid="{758071D9-C1B0-45BD-B6BF-33C3918898F3}" name="Quiz 2" dataDxfId="69"/>
    <tableColumn id="6" xr3:uid="{343E6371-5E31-41BB-B2F7-397D9E50F2F8}" name="Total" dataDxfId="6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E679E8C-B166-4F68-9A53-21A0412D5E9D}" name="Table10121722" displayName="Table10121722" ref="B49:C50" totalsRowShown="0" headerRowDxfId="67" dataDxfId="66">
  <autoFilter ref="B49:C50" xr:uid="{7E679E8C-B166-4F68-9A53-21A0412D5E9D}"/>
  <tableColumns count="2">
    <tableColumn id="1" xr3:uid="{62817289-D4F9-4533-A45B-83BD78F1E21D}" name="Maths IV" dataDxfId="65"/>
    <tableColumn id="2" xr3:uid="{85694941-D6AA-4481-BDF5-36CF8B4AE004}" name="Quiz" dataDxfId="6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8EFB19-CC52-4A38-A549-4773A4038088}" name="Table1012172213" displayName="Table1012172213" ref="B57:H58" totalsRowShown="0" headerRowDxfId="63" dataDxfId="62">
  <autoFilter ref="B57:H58" xr:uid="{2E8EFB19-CC52-4A38-A549-4773A4038088}"/>
  <tableColumns count="7">
    <tableColumn id="1" xr3:uid="{B39D5E1C-69EB-4152-B8A8-1760D2448A90}" name="Linear Algebra" dataDxfId="61"/>
    <tableColumn id="5" xr3:uid="{D10D149E-232F-4DAA-81C5-31D861839F41}" name="Quiz1" dataDxfId="60"/>
    <tableColumn id="2" xr3:uid="{5CA6916F-5FA5-47DB-A9BD-91A639B91014}" name="Quiz1 Max" dataDxfId="59"/>
    <tableColumn id="6" xr3:uid="{A3325A9B-02FB-4C53-B892-28DB2A463736}" name="Quiz2" dataDxfId="58"/>
    <tableColumn id="3" xr3:uid="{44A6C65B-FA82-49DB-A3BB-780E2DED5ECE}" name="Quiz22" dataDxfId="57"/>
    <tableColumn id="4" xr3:uid="{E6C766A9-E04E-4ADB-84CB-0183A38391BF}" name="Total" dataDxfId="56">
      <calculatedColumnFormula>+Table1012172213[[#This Row],[Quiz1]]+Table1012172213[[#This Row],[Quiz2]]</calculatedColumnFormula>
    </tableColumn>
    <tableColumn id="7" xr3:uid="{89E4E1E6-96CC-4FF6-B9D1-52ECF82969B0}" name="Total Max" dataDxfId="5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207AA88-EE36-4624-A88E-6569E03C562E}" name="Table101217221325" displayName="Table101217221325" ref="B61:I62" totalsRowShown="0" headerRowDxfId="54" dataDxfId="53">
  <autoFilter ref="B61:I62" xr:uid="{2207AA88-EE36-4624-A88E-6569E03C562E}"/>
  <tableColumns count="8">
    <tableColumn id="1" xr3:uid="{A1410ADB-FBAA-48A1-A8DF-3A8B2E651D8B}" name="Opearting Systems" dataDxfId="52"/>
    <tableColumn id="2" xr3:uid="{8776271C-5F25-4785-A95B-B458AEF6F282}" name="Quiz1" dataDxfId="51"/>
    <tableColumn id="7" xr3:uid="{05E6A514-432C-455E-9251-B2B593D26098}" name="Quiz1 Max" dataDxfId="50"/>
    <tableColumn id="3" xr3:uid="{36387145-7C98-4055-ABC2-E7AC4D91D251}" name="Quiz 2" dataDxfId="49"/>
    <tableColumn id="8" xr3:uid="{F134A27C-6A58-4C39-A569-9F69227340DC}" name="Quiz2 Max" dataDxfId="48"/>
    <tableColumn id="6" xr3:uid="{2E7E518B-2E59-4E43-8726-08526026E34B}" name="Report" dataDxfId="47"/>
    <tableColumn id="4" xr3:uid="{6157D7A2-D60B-4F03-A097-7482D25F89D6}" name="Total" dataDxfId="46"/>
    <tableColumn id="5" xr3:uid="{7547E26B-F008-458B-9456-6DEE8B7DB78B}" name="Total Max" dataDxfId="45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EFEDB9D-732D-4630-8B03-7AFFC1AD7F0B}" name="Table101217221326" displayName="Table101217221326" ref="B65:G66" totalsRowShown="0" headerRowDxfId="44" dataDxfId="43">
  <autoFilter ref="B65:G66" xr:uid="{7EFEDB9D-732D-4630-8B03-7AFFC1AD7F0B}"/>
  <tableColumns count="6">
    <tableColumn id="1" xr3:uid="{186B9208-1B02-463B-927F-54C5F3F8ECA3}" name="Design and Analysis of Algorithms" dataDxfId="42"/>
    <tableColumn id="2" xr3:uid="{5AF780C1-C46C-4238-A76A-BBE35D0DD3CE}" name="Quiz 1" dataDxfId="41"/>
    <tableColumn id="3" xr3:uid="{C8A6FE4A-0A69-4C2A-A833-697D0B90F623}" name="Project" dataDxfId="40"/>
    <tableColumn id="4" xr3:uid="{780FF1E4-AD54-4288-822A-14F698E383A9}" name="Total" dataDxfId="39"/>
    <tableColumn id="5" xr3:uid="{B539CB65-6FBB-48BA-BF1A-D9899FE91DF1}" name="Total Max" dataDxfId="38"/>
    <tableColumn id="6" xr3:uid="{7C2146AE-0FA2-490E-A979-F82977B2A392}" name="Bonus" dataDxfId="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F7A8B39-9473-409F-BE6D-5CDCF065FCC9}" name="Table101217221327" displayName="Table101217221327" ref="B69:F70" totalsRowShown="0" headerRowDxfId="36" dataDxfId="35">
  <autoFilter ref="B69:F70" xr:uid="{DF7A8B39-9473-409F-BE6D-5CDCF065FCC9}"/>
  <tableColumns count="5">
    <tableColumn id="1" xr3:uid="{75F94FF8-2D45-4A55-99D4-4ED627023AFA}" name="Advanced Methods for Multimedia" dataDxfId="34"/>
    <tableColumn id="2" xr3:uid="{88705062-D7C8-46E8-AA95-DAA631863958}" name="Sec Projects" dataDxfId="33"/>
    <tableColumn id="3" xr3:uid="{F9618B6F-2F74-440B-9CF9-C226705955DC}" name="Sec Projects Max" dataDxfId="32"/>
    <tableColumn id="4" xr3:uid="{4A66F216-977C-4163-B8CE-EDD7CBF7203B}" name="Lec Projects" dataDxfId="31"/>
    <tableColumn id="5" xr3:uid="{DFE53239-C42B-4445-B658-06DB1051C764}" name="Lec Projects Max" dataDxfId="3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7AD0100-11F5-4429-A381-85314D0234F0}" name="Table101217221328" displayName="Table101217221328" ref="B73:F74" totalsRowShown="0" headerRowDxfId="29" dataDxfId="28">
  <autoFilter ref="B73:F74" xr:uid="{87AD0100-11F5-4429-A381-85314D0234F0}"/>
  <tableColumns count="5">
    <tableColumn id="1" xr3:uid="{A5601E5C-E375-40C5-97A4-E21B705AA075}" name="Intelligent Systems" dataDxfId="27"/>
    <tableColumn id="2" xr3:uid="{2240AD9C-38F6-47C4-8BD5-EAEE10C04068}" name="Assignment" dataDxfId="26"/>
    <tableColumn id="3" xr3:uid="{A14BA645-2253-4B09-B74C-057576947793}" name="Project" dataDxfId="25"/>
    <tableColumn id="4" xr3:uid="{BDAE3480-C7EC-4F7C-878D-4C50E6262734}" name="Total" dataDxfId="24"/>
    <tableColumn id="5" xr3:uid="{6C410047-0482-4545-9881-9931EE4C7F26}" name="Total Max" dataDxfId="23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D7EAD71-4C91-43A3-A932-172CEEA55492}" name="Table101217221329" displayName="Table101217221329" ref="B77:G78" totalsRowShown="0" headerRowDxfId="22" dataDxfId="21">
  <autoFilter ref="B77:G78" xr:uid="{2D7EAD71-4C91-43A3-A932-172CEEA55492}"/>
  <tableColumns count="6">
    <tableColumn id="1" xr3:uid="{BD37413B-4A28-483D-9B6C-CA2468F72F8B}" name="Large-Scale Database" dataDxfId="20"/>
    <tableColumn id="2" xr3:uid="{8ACAF496-83AE-4577-8105-E7F2D418F493}" name="Project 1" dataDxfId="19"/>
    <tableColumn id="3" xr3:uid="{0AFE68A8-52C8-4747-BB8A-3B1C38E2BD7D}" name="Project 2" dataDxfId="18"/>
    <tableColumn id="4" xr3:uid="{1BD72070-2E8A-4BBA-A175-C20D83CE3B45}" name="Assignment" dataDxfId="17"/>
    <tableColumn id="5" xr3:uid="{EE08EFA1-C67A-468D-8D2C-6693EA6A1EED}" name="Total" dataDxfId="16"/>
    <tableColumn id="6" xr3:uid="{2726B104-3C2D-4D50-852A-49C52478DDCE}" name="Total Max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62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26DC5F-F2B7-4D62-B2D8-144784F6D2A2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XISx4SWdJnfjMmzdTlsm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College%20Track.xlsx" TargetMode="Externa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College%20Track.xlsx" TargetMode="External"/><Relationship Id="rId18" Type="http://schemas.openxmlformats.org/officeDocument/2006/relationships/hyperlink" Target="College%20Track.xlsx" TargetMode="External"/><Relationship Id="rId26" Type="http://schemas.openxmlformats.org/officeDocument/2006/relationships/hyperlink" Target="College%20Track.xlsx" TargetMode="External"/><Relationship Id="rId3" Type="http://schemas.openxmlformats.org/officeDocument/2006/relationships/hyperlink" Target="College%20Track.xlsx" TargetMode="External"/><Relationship Id="rId21" Type="http://schemas.openxmlformats.org/officeDocument/2006/relationships/hyperlink" Target="College%20Track.xlsx" TargetMode="External"/><Relationship Id="rId34" Type="http://schemas.openxmlformats.org/officeDocument/2006/relationships/table" Target="../tables/table14.xml"/><Relationship Id="rId7" Type="http://schemas.openxmlformats.org/officeDocument/2006/relationships/hyperlink" Target="College%20Track.xlsx" TargetMode="External"/><Relationship Id="rId12" Type="http://schemas.openxmlformats.org/officeDocument/2006/relationships/hyperlink" Target="College%20Track.xlsx" TargetMode="External"/><Relationship Id="rId17" Type="http://schemas.openxmlformats.org/officeDocument/2006/relationships/hyperlink" Target="College%20Track.xlsx" TargetMode="External"/><Relationship Id="rId25" Type="http://schemas.openxmlformats.org/officeDocument/2006/relationships/hyperlink" Target="College%20Track.xlsx" TargetMode="External"/><Relationship Id="rId33" Type="http://schemas.openxmlformats.org/officeDocument/2006/relationships/table" Target="../tables/table13.xml"/><Relationship Id="rId2" Type="http://schemas.openxmlformats.org/officeDocument/2006/relationships/hyperlink" Target="College%20Track.xlsx" TargetMode="External"/><Relationship Id="rId16" Type="http://schemas.openxmlformats.org/officeDocument/2006/relationships/hyperlink" Target="College%20Track.xlsx" TargetMode="External"/><Relationship Id="rId20" Type="http://schemas.openxmlformats.org/officeDocument/2006/relationships/hyperlink" Target="College%20Track.xlsx" TargetMode="External"/><Relationship Id="rId29" Type="http://schemas.openxmlformats.org/officeDocument/2006/relationships/table" Target="../tables/table9.xml"/><Relationship Id="rId1" Type="http://schemas.openxmlformats.org/officeDocument/2006/relationships/hyperlink" Target="College%20Track.xlsx" TargetMode="External"/><Relationship Id="rId6" Type="http://schemas.openxmlformats.org/officeDocument/2006/relationships/hyperlink" Target="College%20Track.xlsx" TargetMode="External"/><Relationship Id="rId11" Type="http://schemas.openxmlformats.org/officeDocument/2006/relationships/hyperlink" Target="College%20Track.xlsx" TargetMode="External"/><Relationship Id="rId24" Type="http://schemas.openxmlformats.org/officeDocument/2006/relationships/hyperlink" Target="College%20Track.xlsx" TargetMode="External"/><Relationship Id="rId32" Type="http://schemas.openxmlformats.org/officeDocument/2006/relationships/table" Target="../tables/table12.xml"/><Relationship Id="rId5" Type="http://schemas.openxmlformats.org/officeDocument/2006/relationships/hyperlink" Target="College%20Track.xlsx" TargetMode="External"/><Relationship Id="rId15" Type="http://schemas.openxmlformats.org/officeDocument/2006/relationships/hyperlink" Target="College%20Track.xlsx" TargetMode="External"/><Relationship Id="rId23" Type="http://schemas.openxmlformats.org/officeDocument/2006/relationships/hyperlink" Target="College%20Track.xlsx" TargetMode="External"/><Relationship Id="rId28" Type="http://schemas.openxmlformats.org/officeDocument/2006/relationships/printerSettings" Target="../printerSettings/printerSettings2.bin"/><Relationship Id="rId36" Type="http://schemas.openxmlformats.org/officeDocument/2006/relationships/table" Target="../tables/table16.xml"/><Relationship Id="rId10" Type="http://schemas.openxmlformats.org/officeDocument/2006/relationships/hyperlink" Target="College%20Track.xlsx" TargetMode="External"/><Relationship Id="rId19" Type="http://schemas.openxmlformats.org/officeDocument/2006/relationships/hyperlink" Target="College%20Track.xlsx" TargetMode="External"/><Relationship Id="rId31" Type="http://schemas.openxmlformats.org/officeDocument/2006/relationships/table" Target="../tables/table11.xml"/><Relationship Id="rId4" Type="http://schemas.openxmlformats.org/officeDocument/2006/relationships/hyperlink" Target="College%20Track.xlsx" TargetMode="External"/><Relationship Id="rId9" Type="http://schemas.openxmlformats.org/officeDocument/2006/relationships/hyperlink" Target="College%20Track.xlsx" TargetMode="External"/><Relationship Id="rId14" Type="http://schemas.openxmlformats.org/officeDocument/2006/relationships/hyperlink" Target="College%20Track.xlsx" TargetMode="External"/><Relationship Id="rId22" Type="http://schemas.openxmlformats.org/officeDocument/2006/relationships/hyperlink" Target="College%20Track.xlsx" TargetMode="External"/><Relationship Id="rId27" Type="http://schemas.openxmlformats.org/officeDocument/2006/relationships/hyperlink" Target="College%20Track.xlsx" TargetMode="External"/><Relationship Id="rId30" Type="http://schemas.openxmlformats.org/officeDocument/2006/relationships/table" Target="../tables/table10.xml"/><Relationship Id="rId35" Type="http://schemas.openxmlformats.org/officeDocument/2006/relationships/table" Target="../tables/table15.xml"/><Relationship Id="rId8" Type="http://schemas.openxmlformats.org/officeDocument/2006/relationships/hyperlink" Target="College%20Track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13" Type="http://schemas.openxmlformats.org/officeDocument/2006/relationships/table" Target="../tables/table26.xml"/><Relationship Id="rId18" Type="http://schemas.openxmlformats.org/officeDocument/2006/relationships/table" Target="../tables/table31.xml"/><Relationship Id="rId3" Type="http://schemas.openxmlformats.org/officeDocument/2006/relationships/printerSettings" Target="../printerSettings/printerSettings3.bin"/><Relationship Id="rId7" Type="http://schemas.openxmlformats.org/officeDocument/2006/relationships/table" Target="../tables/table20.xml"/><Relationship Id="rId12" Type="http://schemas.openxmlformats.org/officeDocument/2006/relationships/table" Target="../tables/table25.xml"/><Relationship Id="rId17" Type="http://schemas.openxmlformats.org/officeDocument/2006/relationships/table" Target="../tables/table30.xml"/><Relationship Id="rId2" Type="http://schemas.openxmlformats.org/officeDocument/2006/relationships/hyperlink" Target="College%20Track.xlsx" TargetMode="External"/><Relationship Id="rId16" Type="http://schemas.openxmlformats.org/officeDocument/2006/relationships/table" Target="../tables/table29.xml"/><Relationship Id="rId20" Type="http://schemas.openxmlformats.org/officeDocument/2006/relationships/table" Target="../tables/table33.xml"/><Relationship Id="rId1" Type="http://schemas.openxmlformats.org/officeDocument/2006/relationships/hyperlink" Target="College%20Track.xlsx" TargetMode="External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5" Type="http://schemas.openxmlformats.org/officeDocument/2006/relationships/table" Target="../tables/table18.xml"/><Relationship Id="rId15" Type="http://schemas.openxmlformats.org/officeDocument/2006/relationships/table" Target="../tables/table28.xml"/><Relationship Id="rId10" Type="http://schemas.openxmlformats.org/officeDocument/2006/relationships/table" Target="../tables/table23.xml"/><Relationship Id="rId19" Type="http://schemas.openxmlformats.org/officeDocument/2006/relationships/table" Target="../tables/table32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Relationship Id="rId14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A252-092A-4B93-AE8C-B7C35D64BCB8}">
  <sheetPr codeName="Sheet1"/>
  <dimension ref="A1:H83"/>
  <sheetViews>
    <sheetView topLeftCell="A64" zoomScale="130" zoomScaleNormal="145" workbookViewId="0">
      <selection activeCell="A77" sqref="A77"/>
    </sheetView>
  </sheetViews>
  <sheetFormatPr defaultRowHeight="14.4" x14ac:dyDescent="0.3"/>
  <cols>
    <col min="1" max="2" width="16.21875" style="8" bestFit="1" customWidth="1"/>
    <col min="3" max="3" width="32.44140625" style="8" bestFit="1" customWidth="1"/>
    <col min="4" max="4" width="18.88671875" style="9" bestFit="1" customWidth="1"/>
    <col min="5" max="5" width="13.77734375" style="7" bestFit="1" customWidth="1"/>
    <col min="6" max="6" width="13.5546875" style="8" bestFit="1" customWidth="1"/>
    <col min="7" max="7" width="17.44140625" style="8" bestFit="1" customWidth="1"/>
    <col min="8" max="8" width="13.5546875" style="8" bestFit="1" customWidth="1"/>
    <col min="9" max="16384" width="8.88671875" style="8"/>
  </cols>
  <sheetData>
    <row r="1" spans="1:8" x14ac:dyDescent="0.3">
      <c r="A1" s="17" t="s">
        <v>160</v>
      </c>
      <c r="B1" s="8" t="s">
        <v>161</v>
      </c>
      <c r="C1" s="35">
        <f>SUBTOTAL(9,F:F)</f>
        <v>132</v>
      </c>
      <c r="D1" s="35" t="s">
        <v>163</v>
      </c>
      <c r="E1" s="8">
        <v>132</v>
      </c>
    </row>
    <row r="2" spans="1:8" x14ac:dyDescent="0.3">
      <c r="A2" s="10"/>
    </row>
    <row r="3" spans="1:8" x14ac:dyDescent="0.3">
      <c r="A3" s="10" t="s">
        <v>63</v>
      </c>
      <c r="B3" s="8" t="s">
        <v>0</v>
      </c>
      <c r="D3" s="8"/>
    </row>
    <row r="4" spans="1:8" x14ac:dyDescent="0.3">
      <c r="B4" s="8" t="s">
        <v>93</v>
      </c>
      <c r="C4" s="8" t="s">
        <v>13</v>
      </c>
      <c r="D4" s="8" t="s">
        <v>162</v>
      </c>
      <c r="E4" s="7" t="s">
        <v>2</v>
      </c>
      <c r="F4" s="8" t="s">
        <v>3</v>
      </c>
      <c r="G4" s="8" t="s">
        <v>11</v>
      </c>
      <c r="H4" s="8" t="s">
        <v>12</v>
      </c>
    </row>
    <row r="5" spans="1:8" x14ac:dyDescent="0.3">
      <c r="B5" s="8">
        <v>1</v>
      </c>
      <c r="C5" s="8" t="s">
        <v>5</v>
      </c>
      <c r="D5" s="8"/>
      <c r="E5" s="7">
        <v>4170105</v>
      </c>
      <c r="F5" s="8">
        <v>3</v>
      </c>
      <c r="G5" s="8">
        <v>770</v>
      </c>
      <c r="H5" s="8" cm="1">
        <f t="array" ref="H5">MMULT(F5,G5)</f>
        <v>2310</v>
      </c>
    </row>
    <row r="6" spans="1:8" x14ac:dyDescent="0.3">
      <c r="B6" s="8">
        <v>2</v>
      </c>
      <c r="C6" s="8" t="s">
        <v>6</v>
      </c>
      <c r="D6" s="8"/>
      <c r="E6" s="7">
        <v>4170108</v>
      </c>
      <c r="F6" s="8">
        <v>3</v>
      </c>
      <c r="G6" s="8">
        <v>770</v>
      </c>
      <c r="H6" s="8" cm="1">
        <f t="array" ref="H6">MMULT(F6,G6)</f>
        <v>2310</v>
      </c>
    </row>
    <row r="7" spans="1:8" x14ac:dyDescent="0.3">
      <c r="B7" s="8">
        <v>3</v>
      </c>
      <c r="C7" s="8" t="s">
        <v>7</v>
      </c>
      <c r="D7" s="8"/>
      <c r="E7" s="7">
        <v>4170103</v>
      </c>
      <c r="F7" s="8">
        <v>3</v>
      </c>
      <c r="G7" s="8">
        <v>770</v>
      </c>
      <c r="H7" s="8" cm="1">
        <f t="array" ref="H7">MMULT(F7,G7)</f>
        <v>2310</v>
      </c>
    </row>
    <row r="8" spans="1:8" x14ac:dyDescent="0.3">
      <c r="B8" s="8">
        <v>4</v>
      </c>
      <c r="C8" s="8" t="s">
        <v>4</v>
      </c>
      <c r="D8" s="8" t="s">
        <v>186</v>
      </c>
      <c r="E8" s="7">
        <v>4170101</v>
      </c>
      <c r="F8" s="8">
        <v>2</v>
      </c>
      <c r="G8" s="8">
        <v>770</v>
      </c>
      <c r="H8" s="8" cm="1">
        <f t="array" ref="H8">MMULT(F8,G8)</f>
        <v>1540</v>
      </c>
    </row>
    <row r="9" spans="1:8" x14ac:dyDescent="0.3">
      <c r="B9" s="8">
        <v>5</v>
      </c>
      <c r="C9" s="8" t="s">
        <v>8</v>
      </c>
      <c r="D9" s="8"/>
      <c r="E9" s="7" t="s">
        <v>21</v>
      </c>
      <c r="F9" s="8">
        <v>2</v>
      </c>
      <c r="G9" s="8">
        <v>770</v>
      </c>
      <c r="H9" s="8" cm="1">
        <f t="array" ref="H9">MMULT(F9,G9)</f>
        <v>1540</v>
      </c>
    </row>
    <row r="10" spans="1:8" x14ac:dyDescent="0.3">
      <c r="B10" s="8">
        <v>6</v>
      </c>
      <c r="C10" s="8" t="s">
        <v>9</v>
      </c>
      <c r="D10" s="8"/>
      <c r="E10" s="7" t="s">
        <v>21</v>
      </c>
      <c r="F10" s="8">
        <v>2</v>
      </c>
      <c r="G10" s="8">
        <v>770</v>
      </c>
      <c r="H10" s="8" cm="1">
        <f t="array" ref="H10">MMULT(F10,G10)</f>
        <v>1540</v>
      </c>
    </row>
    <row r="11" spans="1:8" x14ac:dyDescent="0.3">
      <c r="B11" s="8">
        <v>7</v>
      </c>
      <c r="C11" s="8" t="s">
        <v>10</v>
      </c>
      <c r="D11" s="8"/>
      <c r="E11" s="7" t="s">
        <v>21</v>
      </c>
      <c r="F11" s="8">
        <v>2</v>
      </c>
      <c r="G11" s="8">
        <v>770</v>
      </c>
      <c r="H11" s="8" cm="1">
        <f t="array" ref="H11">MMULT(F11,G11)</f>
        <v>1540</v>
      </c>
    </row>
    <row r="12" spans="1:8" x14ac:dyDescent="0.3">
      <c r="D12" s="8"/>
      <c r="H12" s="8">
        <f>SUBTOTAL(109,H5:H11)</f>
        <v>13090</v>
      </c>
    </row>
    <row r="13" spans="1:8" x14ac:dyDescent="0.3">
      <c r="D13" s="8"/>
    </row>
    <row r="14" spans="1:8" x14ac:dyDescent="0.3">
      <c r="A14" s="10" t="s">
        <v>63</v>
      </c>
      <c r="B14" s="8" t="s">
        <v>22</v>
      </c>
      <c r="D14" s="8"/>
    </row>
    <row r="15" spans="1:8" x14ac:dyDescent="0.3">
      <c r="B15" s="8" t="s">
        <v>93</v>
      </c>
      <c r="C15" s="8" t="s">
        <v>13</v>
      </c>
      <c r="D15" s="8" t="s">
        <v>162</v>
      </c>
      <c r="E15" s="7" t="s">
        <v>2</v>
      </c>
      <c r="F15" s="8" t="s">
        <v>3</v>
      </c>
      <c r="G15" s="8" t="s">
        <v>11</v>
      </c>
      <c r="H15" s="8" t="s">
        <v>12</v>
      </c>
    </row>
    <row r="16" spans="1:8" x14ac:dyDescent="0.3">
      <c r="B16" s="8">
        <v>1</v>
      </c>
      <c r="C16" s="8" t="s">
        <v>14</v>
      </c>
      <c r="D16" s="8" t="s">
        <v>5</v>
      </c>
      <c r="E16" s="7">
        <v>4170106</v>
      </c>
      <c r="F16" s="8">
        <v>3</v>
      </c>
      <c r="G16" s="8">
        <v>770</v>
      </c>
      <c r="H16" s="8" cm="1">
        <f t="array" ref="H16">MMULT(F16,G16)</f>
        <v>2310</v>
      </c>
    </row>
    <row r="17" spans="1:8" x14ac:dyDescent="0.3">
      <c r="B17" s="8">
        <v>2</v>
      </c>
      <c r="C17" s="8" t="s">
        <v>15</v>
      </c>
      <c r="D17" s="8" t="s">
        <v>6</v>
      </c>
      <c r="E17" s="7">
        <v>4170203</v>
      </c>
      <c r="F17" s="8">
        <v>3</v>
      </c>
      <c r="G17" s="8">
        <v>770</v>
      </c>
      <c r="H17" s="8" cm="1">
        <f t="array" ref="H17">MMULT(F17,G17)</f>
        <v>2310</v>
      </c>
    </row>
    <row r="18" spans="1:8" x14ac:dyDescent="0.3">
      <c r="B18" s="8">
        <v>3</v>
      </c>
      <c r="C18" s="8" t="s">
        <v>18</v>
      </c>
      <c r="D18" s="8" t="s">
        <v>7</v>
      </c>
      <c r="E18" s="7">
        <v>4170104</v>
      </c>
      <c r="F18" s="8">
        <v>3</v>
      </c>
      <c r="G18" s="8">
        <v>770</v>
      </c>
      <c r="H18" s="8" cm="1">
        <f t="array" ref="H18">MMULT(F18,G18)</f>
        <v>2310</v>
      </c>
    </row>
    <row r="19" spans="1:8" x14ac:dyDescent="0.3">
      <c r="B19" s="8">
        <v>4</v>
      </c>
      <c r="C19" s="8" t="s">
        <v>17</v>
      </c>
      <c r="D19" s="8" t="s">
        <v>4</v>
      </c>
      <c r="E19" s="7">
        <v>4170102</v>
      </c>
      <c r="F19" s="8">
        <v>2</v>
      </c>
      <c r="G19" s="8">
        <v>770</v>
      </c>
      <c r="H19" s="8" cm="1">
        <f t="array" ref="H19">MMULT(F19,G19)</f>
        <v>1540</v>
      </c>
    </row>
    <row r="20" spans="1:8" x14ac:dyDescent="0.3">
      <c r="B20" s="8">
        <v>5</v>
      </c>
      <c r="C20" s="8" t="s">
        <v>16</v>
      </c>
      <c r="D20" s="8"/>
      <c r="E20" s="7">
        <v>4170107</v>
      </c>
      <c r="F20" s="8">
        <v>2</v>
      </c>
      <c r="G20" s="8">
        <v>770</v>
      </c>
      <c r="H20" s="8" cm="1">
        <f t="array" ref="H20">MMULT(F20,G20)</f>
        <v>1540</v>
      </c>
    </row>
    <row r="21" spans="1:8" x14ac:dyDescent="0.3">
      <c r="B21" s="8">
        <v>6</v>
      </c>
      <c r="C21" s="8" t="s">
        <v>19</v>
      </c>
      <c r="D21" s="8"/>
      <c r="E21" s="7" t="s">
        <v>21</v>
      </c>
      <c r="F21" s="8">
        <v>2</v>
      </c>
      <c r="G21" s="8">
        <v>770</v>
      </c>
      <c r="H21" s="8" cm="1">
        <f t="array" ref="H21">MMULT(F21,G21)</f>
        <v>1540</v>
      </c>
    </row>
    <row r="22" spans="1:8" x14ac:dyDescent="0.3">
      <c r="B22" s="8">
        <v>7</v>
      </c>
      <c r="C22" s="8" t="s">
        <v>20</v>
      </c>
      <c r="D22" s="8"/>
      <c r="E22" s="7" t="s">
        <v>21</v>
      </c>
      <c r="F22" s="8">
        <v>2</v>
      </c>
      <c r="G22" s="8">
        <v>770</v>
      </c>
      <c r="H22" s="8" cm="1">
        <f t="array" ref="H22">MMULT(F22,G22)</f>
        <v>1540</v>
      </c>
    </row>
    <row r="23" spans="1:8" x14ac:dyDescent="0.3">
      <c r="D23" s="8"/>
      <c r="H23" s="8">
        <f>SUBTOTAL(109,Table13[Course Price])</f>
        <v>13090</v>
      </c>
    </row>
    <row r="24" spans="1:8" x14ac:dyDescent="0.3">
      <c r="D24" s="8"/>
    </row>
    <row r="25" spans="1:8" x14ac:dyDescent="0.3">
      <c r="A25" s="10" t="s">
        <v>63</v>
      </c>
      <c r="B25" s="8" t="s">
        <v>53</v>
      </c>
    </row>
    <row r="26" spans="1:8" x14ac:dyDescent="0.3">
      <c r="B26" s="8" t="s">
        <v>93</v>
      </c>
      <c r="C26" s="8" t="s">
        <v>13</v>
      </c>
      <c r="D26" s="8" t="s">
        <v>162</v>
      </c>
      <c r="E26" s="7" t="s">
        <v>2</v>
      </c>
      <c r="F26" s="8" t="s">
        <v>3</v>
      </c>
      <c r="G26" s="8" t="s">
        <v>11</v>
      </c>
      <c r="H26" s="8" t="s">
        <v>12</v>
      </c>
    </row>
    <row r="27" spans="1:8" x14ac:dyDescent="0.3">
      <c r="B27" s="8">
        <v>1</v>
      </c>
      <c r="C27" s="8" t="s">
        <v>55</v>
      </c>
      <c r="D27" s="8" t="s">
        <v>6</v>
      </c>
      <c r="E27" s="7">
        <v>4170204</v>
      </c>
      <c r="F27" s="8">
        <v>3</v>
      </c>
      <c r="G27" s="8">
        <v>850</v>
      </c>
      <c r="H27" s="8" cm="1">
        <f t="array" ref="H27">MMULT(F27,G27)</f>
        <v>2550</v>
      </c>
    </row>
    <row r="28" spans="1:8" x14ac:dyDescent="0.3">
      <c r="B28" s="8">
        <v>2</v>
      </c>
      <c r="C28" s="8" t="s">
        <v>56</v>
      </c>
      <c r="D28" s="8" t="s">
        <v>57</v>
      </c>
      <c r="E28" s="7">
        <v>4170206</v>
      </c>
      <c r="F28" s="8">
        <v>3</v>
      </c>
      <c r="G28" s="8">
        <v>850</v>
      </c>
      <c r="H28" s="8" cm="1">
        <f t="array" ref="H28">MMULT(F28,G28)</f>
        <v>2550</v>
      </c>
    </row>
    <row r="29" spans="1:8" x14ac:dyDescent="0.3">
      <c r="B29" s="8">
        <v>3</v>
      </c>
      <c r="C29" s="8" t="s">
        <v>58</v>
      </c>
      <c r="D29" s="8" t="s">
        <v>57</v>
      </c>
      <c r="E29" s="7">
        <v>4170208</v>
      </c>
      <c r="F29" s="8">
        <v>3</v>
      </c>
      <c r="G29" s="8">
        <v>850</v>
      </c>
      <c r="H29" s="8" cm="1">
        <f t="array" ref="H29">MMULT(F29,G29)</f>
        <v>2550</v>
      </c>
    </row>
    <row r="30" spans="1:8" x14ac:dyDescent="0.3">
      <c r="B30" s="8">
        <v>4</v>
      </c>
      <c r="C30" s="8" t="s">
        <v>59</v>
      </c>
      <c r="D30" s="8" t="s">
        <v>57</v>
      </c>
      <c r="E30" s="7">
        <v>4170205</v>
      </c>
      <c r="F30" s="8">
        <v>3</v>
      </c>
      <c r="G30" s="8">
        <v>850</v>
      </c>
      <c r="H30" s="8" cm="1">
        <f t="array" ref="H30">MMULT(F30,G30)</f>
        <v>2550</v>
      </c>
    </row>
    <row r="31" spans="1:8" x14ac:dyDescent="0.3">
      <c r="B31" s="8">
        <v>5</v>
      </c>
      <c r="C31" s="8" t="s">
        <v>60</v>
      </c>
      <c r="D31" s="8"/>
      <c r="E31" s="7">
        <v>4170207</v>
      </c>
      <c r="F31" s="8">
        <v>3</v>
      </c>
      <c r="G31" s="8">
        <v>850</v>
      </c>
      <c r="H31" s="8" cm="1">
        <f t="array" ref="H31">MMULT(F31,G31)</f>
        <v>2550</v>
      </c>
    </row>
    <row r="32" spans="1:8" x14ac:dyDescent="0.3">
      <c r="B32" s="8">
        <v>6</v>
      </c>
      <c r="C32" s="8" t="s">
        <v>54</v>
      </c>
      <c r="D32" s="8" t="s">
        <v>17</v>
      </c>
      <c r="E32" s="7">
        <v>4170201</v>
      </c>
      <c r="F32" s="8">
        <v>2</v>
      </c>
      <c r="G32" s="8">
        <v>850</v>
      </c>
      <c r="H32" s="8" cm="1">
        <f t="array" ref="H32">MMULT(F32,G32)</f>
        <v>1700</v>
      </c>
    </row>
    <row r="33" spans="1:8" x14ac:dyDescent="0.3">
      <c r="B33" s="33">
        <v>7</v>
      </c>
      <c r="C33" s="33" t="s">
        <v>66</v>
      </c>
      <c r="D33" s="33"/>
      <c r="E33" s="34" t="s">
        <v>21</v>
      </c>
      <c r="F33" s="33"/>
      <c r="G33" s="33">
        <v>850</v>
      </c>
      <c r="H33" s="33">
        <v>1700</v>
      </c>
    </row>
    <row r="34" spans="1:8" x14ac:dyDescent="0.3">
      <c r="D34" s="8"/>
      <c r="H34" s="8">
        <f>SUBTOTAL(109,Table136[Course Price])</f>
        <v>16150</v>
      </c>
    </row>
    <row r="36" spans="1:8" x14ac:dyDescent="0.3">
      <c r="A36" s="10" t="s">
        <v>63</v>
      </c>
      <c r="B36" s="8" t="s">
        <v>92</v>
      </c>
    </row>
    <row r="37" spans="1:8" x14ac:dyDescent="0.3">
      <c r="B37" s="8" t="s">
        <v>93</v>
      </c>
      <c r="C37" s="8" t="s">
        <v>13</v>
      </c>
      <c r="D37" s="9" t="s">
        <v>162</v>
      </c>
      <c r="E37" s="7" t="s">
        <v>2</v>
      </c>
      <c r="F37" s="8" t="s">
        <v>3</v>
      </c>
      <c r="G37" s="8" t="s">
        <v>11</v>
      </c>
      <c r="H37" s="8" t="s">
        <v>12</v>
      </c>
    </row>
    <row r="38" spans="1:8" x14ac:dyDescent="0.3">
      <c r="B38" s="8">
        <v>1</v>
      </c>
      <c r="C38" s="8" t="s">
        <v>94</v>
      </c>
      <c r="D38" s="8" t="s">
        <v>57</v>
      </c>
      <c r="E38" s="7">
        <v>4170403</v>
      </c>
      <c r="F38" s="8">
        <v>3</v>
      </c>
      <c r="G38" s="8">
        <v>850</v>
      </c>
      <c r="H38" s="8" cm="1">
        <f t="array" ref="H38">MMULT(Table14[[#This Row],[Credit Hours]],Table14[[#This Row],[Credit Hour Price]])</f>
        <v>2550</v>
      </c>
    </row>
    <row r="39" spans="1:8" x14ac:dyDescent="0.3">
      <c r="B39" s="8">
        <v>2</v>
      </c>
      <c r="C39" s="8" t="s">
        <v>98</v>
      </c>
      <c r="D39" s="9" t="s">
        <v>64</v>
      </c>
      <c r="E39" s="7">
        <v>4170305</v>
      </c>
      <c r="F39" s="8">
        <v>3</v>
      </c>
      <c r="G39" s="8">
        <v>850</v>
      </c>
      <c r="H39" s="8" cm="1">
        <f t="array" ref="H39">MMULT(Table14[[#This Row],[Credit Hours]],Table14[[#This Row],[Credit Hour Price]])</f>
        <v>2550</v>
      </c>
    </row>
    <row r="40" spans="1:8" x14ac:dyDescent="0.3">
      <c r="B40" s="8">
        <v>3</v>
      </c>
      <c r="C40" s="8" t="s">
        <v>99</v>
      </c>
      <c r="D40" s="9" t="s">
        <v>64</v>
      </c>
      <c r="E40" s="7">
        <v>4170308</v>
      </c>
      <c r="F40" s="8">
        <v>3</v>
      </c>
      <c r="G40" s="8">
        <v>850</v>
      </c>
      <c r="H40" s="8" cm="1">
        <f t="array" ref="H40">MMULT(Table14[[#This Row],[Credit Hours]],Table14[[#This Row],[Credit Hour Price]])</f>
        <v>2550</v>
      </c>
    </row>
    <row r="41" spans="1:8" x14ac:dyDescent="0.3">
      <c r="B41" s="8">
        <v>4</v>
      </c>
      <c r="C41" s="8" t="s">
        <v>100</v>
      </c>
      <c r="D41" s="9" t="s">
        <v>101</v>
      </c>
      <c r="E41" s="7">
        <v>4170304</v>
      </c>
      <c r="F41" s="8">
        <v>3</v>
      </c>
      <c r="G41" s="8">
        <v>850</v>
      </c>
      <c r="H41" s="8" cm="1">
        <f t="array" ref="H41">MMULT(Table14[[#This Row],[Credit Hours]],Table14[[#This Row],[Credit Hour Price]])</f>
        <v>2550</v>
      </c>
    </row>
    <row r="42" spans="1:8" x14ac:dyDescent="0.3">
      <c r="B42" s="8">
        <v>5</v>
      </c>
      <c r="C42" s="8" t="s">
        <v>102</v>
      </c>
      <c r="D42" s="9" t="s">
        <v>56</v>
      </c>
      <c r="E42" s="7">
        <v>4170319</v>
      </c>
      <c r="F42" s="8">
        <v>3</v>
      </c>
      <c r="G42" s="8">
        <v>850</v>
      </c>
      <c r="H42" s="8" cm="1">
        <f t="array" ref="H42">MMULT(Table14[[#This Row],[Credit Hours]],Table14[[#This Row],[Credit Hour Price]])</f>
        <v>2550</v>
      </c>
    </row>
    <row r="43" spans="1:8" x14ac:dyDescent="0.3">
      <c r="B43" s="8">
        <v>6</v>
      </c>
      <c r="C43" s="8" t="s">
        <v>104</v>
      </c>
      <c r="D43" s="9" t="s">
        <v>54</v>
      </c>
      <c r="E43" s="7">
        <v>4170202</v>
      </c>
      <c r="F43" s="8">
        <v>2</v>
      </c>
      <c r="G43" s="8">
        <v>850</v>
      </c>
      <c r="H43" s="8" cm="1">
        <f t="array" ref="H43">MMULT(Table14[[#This Row],[Credit Hours]],Table14[[#This Row],[Credit Hour Price]])</f>
        <v>1700</v>
      </c>
    </row>
    <row r="44" spans="1:8" x14ac:dyDescent="0.3">
      <c r="H44" s="8">
        <f>SUBTOTAL(109, Table14[Course Price])</f>
        <v>14450</v>
      </c>
    </row>
    <row r="46" spans="1:8" x14ac:dyDescent="0.3">
      <c r="A46" s="10" t="s">
        <v>63</v>
      </c>
      <c r="B46" s="8" t="s">
        <v>125</v>
      </c>
    </row>
    <row r="47" spans="1:8" x14ac:dyDescent="0.3">
      <c r="B47" s="8" t="s">
        <v>93</v>
      </c>
      <c r="C47" s="8" t="s">
        <v>13</v>
      </c>
      <c r="D47" s="8" t="s">
        <v>162</v>
      </c>
      <c r="E47" s="7" t="s">
        <v>2</v>
      </c>
      <c r="F47" s="8" t="s">
        <v>3</v>
      </c>
      <c r="G47" s="8" t="s">
        <v>11</v>
      </c>
      <c r="H47" s="8" t="s">
        <v>12</v>
      </c>
    </row>
    <row r="48" spans="1:8" x14ac:dyDescent="0.3">
      <c r="B48" s="8">
        <v>1</v>
      </c>
      <c r="C48" s="8" t="s">
        <v>126</v>
      </c>
      <c r="D48" s="8"/>
      <c r="E48" s="7">
        <v>4170301</v>
      </c>
      <c r="F48" s="8">
        <v>2</v>
      </c>
      <c r="G48" s="8">
        <v>920</v>
      </c>
      <c r="H48" s="8" cm="1">
        <f t="array" ref="H48">MMULT(F48,G48)</f>
        <v>1840</v>
      </c>
    </row>
    <row r="49" spans="1:8" x14ac:dyDescent="0.3">
      <c r="B49" s="8">
        <v>2</v>
      </c>
      <c r="C49" s="8" t="s">
        <v>127</v>
      </c>
      <c r="D49" s="8" t="s">
        <v>56</v>
      </c>
      <c r="E49" s="7">
        <v>4170303</v>
      </c>
      <c r="F49" s="8">
        <v>3</v>
      </c>
      <c r="G49" s="8">
        <v>920</v>
      </c>
      <c r="H49" s="8" cm="1">
        <f t="array" ref="H49">MMULT(F49,G49)</f>
        <v>2760</v>
      </c>
    </row>
    <row r="50" spans="1:8" x14ac:dyDescent="0.3">
      <c r="B50" s="8">
        <v>3</v>
      </c>
      <c r="C50" s="8" t="s">
        <v>128</v>
      </c>
      <c r="D50" s="8" t="s">
        <v>56</v>
      </c>
      <c r="E50" s="7">
        <v>4170307</v>
      </c>
      <c r="F50" s="8">
        <v>3</v>
      </c>
      <c r="G50" s="8">
        <v>920</v>
      </c>
      <c r="H50" s="8" cm="1">
        <f t="array" ref="H50">MMULT(F50,G50)</f>
        <v>2760</v>
      </c>
    </row>
    <row r="51" spans="1:8" x14ac:dyDescent="0.3">
      <c r="B51" s="8">
        <v>4</v>
      </c>
      <c r="C51" s="8" t="s">
        <v>129</v>
      </c>
      <c r="D51" s="8" t="s">
        <v>58</v>
      </c>
      <c r="E51" s="7">
        <v>4170405</v>
      </c>
      <c r="F51" s="8">
        <v>3</v>
      </c>
      <c r="G51" s="8">
        <v>920</v>
      </c>
      <c r="H51" s="8" cm="1">
        <f t="array" ref="H51">MMULT(F51,G51)</f>
        <v>2760</v>
      </c>
    </row>
    <row r="52" spans="1:8" x14ac:dyDescent="0.3">
      <c r="B52" s="8">
        <v>5</v>
      </c>
      <c r="C52" s="8" t="s">
        <v>130</v>
      </c>
      <c r="D52" s="8"/>
      <c r="F52" s="8">
        <v>3</v>
      </c>
      <c r="G52" s="8">
        <v>920</v>
      </c>
      <c r="H52" s="8" cm="1">
        <f t="array" ref="H52">MMULT(F52,G52)</f>
        <v>2760</v>
      </c>
    </row>
    <row r="53" spans="1:8" x14ac:dyDescent="0.3">
      <c r="B53" s="8">
        <v>6</v>
      </c>
      <c r="C53" s="8" t="s">
        <v>131</v>
      </c>
      <c r="D53" s="8"/>
      <c r="F53" s="8">
        <v>3</v>
      </c>
      <c r="G53" s="8">
        <v>920</v>
      </c>
      <c r="H53" s="8" cm="1">
        <f t="array" ref="H53">MMULT(F53,G53)</f>
        <v>2760</v>
      </c>
    </row>
    <row r="54" spans="1:8" x14ac:dyDescent="0.3">
      <c r="D54" s="8"/>
      <c r="H54" s="8">
        <f>SUBTOTAL(109,Table1368[Course Price])</f>
        <v>15640</v>
      </c>
    </row>
    <row r="56" spans="1:8" x14ac:dyDescent="0.3">
      <c r="A56" s="10" t="s">
        <v>63</v>
      </c>
      <c r="B56" s="8" t="s">
        <v>148</v>
      </c>
    </row>
    <row r="57" spans="1:8" x14ac:dyDescent="0.3">
      <c r="B57" s="8" t="s">
        <v>93</v>
      </c>
      <c r="C57" s="8" t="s">
        <v>13</v>
      </c>
      <c r="D57" s="8" t="s">
        <v>162</v>
      </c>
      <c r="E57" s="7" t="s">
        <v>2</v>
      </c>
      <c r="F57" s="8" t="s">
        <v>3</v>
      </c>
      <c r="G57" s="8" t="s">
        <v>11</v>
      </c>
      <c r="H57" s="8" t="s">
        <v>12</v>
      </c>
    </row>
    <row r="58" spans="1:8" x14ac:dyDescent="0.3">
      <c r="B58" s="8">
        <v>1</v>
      </c>
      <c r="C58" s="8" t="s">
        <v>154</v>
      </c>
      <c r="D58" s="8"/>
      <c r="E58" s="7">
        <v>49900019</v>
      </c>
      <c r="F58" s="8">
        <v>2</v>
      </c>
      <c r="G58" s="8">
        <v>920</v>
      </c>
      <c r="H58" s="8" cm="1">
        <f t="array" ref="H58">MMULT(F58,G58)</f>
        <v>1840</v>
      </c>
    </row>
    <row r="59" spans="1:8" x14ac:dyDescent="0.3">
      <c r="B59" s="8">
        <v>2</v>
      </c>
      <c r="C59" s="8" t="s">
        <v>153</v>
      </c>
      <c r="E59" s="7">
        <v>4170302</v>
      </c>
      <c r="F59" s="8">
        <v>2</v>
      </c>
      <c r="G59" s="8">
        <v>920</v>
      </c>
      <c r="H59" s="8" cm="1">
        <f t="array" ref="H59">MMULT(F59,G59)</f>
        <v>1840</v>
      </c>
    </row>
    <row r="60" spans="1:8" x14ac:dyDescent="0.3">
      <c r="B60" s="8">
        <v>3</v>
      </c>
      <c r="C60" s="8" t="s">
        <v>150</v>
      </c>
      <c r="D60" s="8" t="s">
        <v>59</v>
      </c>
      <c r="E60" s="7">
        <v>4170306</v>
      </c>
      <c r="F60" s="8">
        <v>3</v>
      </c>
      <c r="G60" s="8">
        <v>920</v>
      </c>
      <c r="H60" s="8" cm="1">
        <f t="array" ref="H60">MMULT(F60,G60)</f>
        <v>2760</v>
      </c>
    </row>
    <row r="61" spans="1:8" x14ac:dyDescent="0.3">
      <c r="B61" s="8">
        <v>4</v>
      </c>
      <c r="C61" s="8" t="s">
        <v>151</v>
      </c>
      <c r="D61" s="8" t="s">
        <v>127</v>
      </c>
      <c r="E61" s="7">
        <v>4170404</v>
      </c>
      <c r="F61" s="8">
        <v>3</v>
      </c>
      <c r="G61" s="8">
        <v>920</v>
      </c>
      <c r="H61" s="8" cm="1">
        <f t="array" ref="H61">MMULT(F61,G61)</f>
        <v>2760</v>
      </c>
    </row>
    <row r="62" spans="1:8" x14ac:dyDescent="0.3">
      <c r="B62" s="8">
        <v>5</v>
      </c>
      <c r="C62" s="8" t="s">
        <v>155</v>
      </c>
      <c r="E62" s="8">
        <v>4170212</v>
      </c>
      <c r="F62" s="8">
        <v>2</v>
      </c>
      <c r="G62" s="8">
        <v>920</v>
      </c>
      <c r="H62" s="8" cm="1">
        <f t="array" ref="H62">MMULT(F62,G62)</f>
        <v>1840</v>
      </c>
    </row>
    <row r="63" spans="1:8" x14ac:dyDescent="0.3">
      <c r="B63" s="8">
        <v>6</v>
      </c>
      <c r="C63" s="8" t="s">
        <v>156</v>
      </c>
      <c r="D63" s="8"/>
      <c r="E63" s="7">
        <v>4170318</v>
      </c>
      <c r="F63" s="8">
        <v>3</v>
      </c>
      <c r="G63" s="8">
        <v>920</v>
      </c>
      <c r="H63" s="8" cm="1">
        <f t="array" ref="H63">MMULT(F63,G63)</f>
        <v>2760</v>
      </c>
    </row>
    <row r="64" spans="1:8" x14ac:dyDescent="0.3">
      <c r="B64" s="8">
        <v>7</v>
      </c>
      <c r="C64" s="8" t="s">
        <v>157</v>
      </c>
      <c r="D64" s="8" t="s">
        <v>127</v>
      </c>
      <c r="E64" s="7">
        <v>4170407</v>
      </c>
      <c r="F64" s="8">
        <v>3</v>
      </c>
      <c r="G64" s="8">
        <v>920</v>
      </c>
      <c r="H64" s="8" cm="1">
        <f t="array" ref="H64">MMULT(F64,G64)</f>
        <v>2760</v>
      </c>
    </row>
    <row r="65" spans="1:8" x14ac:dyDescent="0.3">
      <c r="D65" s="8"/>
      <c r="H65" s="8">
        <f>SUBTOTAL(109,Table136823[Course Price])</f>
        <v>16560</v>
      </c>
    </row>
    <row r="67" spans="1:8" x14ac:dyDescent="0.3">
      <c r="A67" s="10" t="s">
        <v>63</v>
      </c>
      <c r="B67" s="8" t="s">
        <v>178</v>
      </c>
    </row>
    <row r="68" spans="1:8" x14ac:dyDescent="0.3">
      <c r="B68" s="8" t="s">
        <v>93</v>
      </c>
      <c r="C68" s="8" t="s">
        <v>13</v>
      </c>
      <c r="D68" s="8" t="s">
        <v>162</v>
      </c>
      <c r="E68" s="7" t="s">
        <v>2</v>
      </c>
      <c r="F68" s="8" t="s">
        <v>3</v>
      </c>
      <c r="G68" s="8" t="s">
        <v>11</v>
      </c>
      <c r="H68" s="8" t="s">
        <v>12</v>
      </c>
    </row>
    <row r="69" spans="1:8" x14ac:dyDescent="0.3">
      <c r="B69" s="8">
        <v>1</v>
      </c>
      <c r="C69" s="8" t="s">
        <v>179</v>
      </c>
      <c r="D69" s="8"/>
      <c r="E69" s="7">
        <v>40000061</v>
      </c>
      <c r="F69" s="8">
        <v>2</v>
      </c>
      <c r="G69" s="8">
        <v>1000</v>
      </c>
      <c r="H69" s="8" cm="1">
        <f t="array" ref="H69">MMULT(F69,G69)</f>
        <v>2000</v>
      </c>
    </row>
    <row r="70" spans="1:8" x14ac:dyDescent="0.3">
      <c r="B70" s="8">
        <v>2</v>
      </c>
      <c r="C70" s="8" t="s">
        <v>183</v>
      </c>
      <c r="D70" s="8" t="s">
        <v>184</v>
      </c>
      <c r="E70" s="7">
        <v>4170409</v>
      </c>
      <c r="F70" s="8">
        <v>3</v>
      </c>
      <c r="G70" s="8">
        <v>1000</v>
      </c>
      <c r="H70" s="8" cm="1">
        <f t="array" ref="H70">MMULT(F70,G70)</f>
        <v>3000</v>
      </c>
    </row>
    <row r="71" spans="1:8" x14ac:dyDescent="0.3">
      <c r="B71" s="8">
        <v>3</v>
      </c>
      <c r="C71" s="8" t="s">
        <v>180</v>
      </c>
      <c r="D71" s="8" t="s">
        <v>58</v>
      </c>
      <c r="E71" s="7">
        <v>4170401</v>
      </c>
      <c r="F71" s="8">
        <v>3</v>
      </c>
      <c r="G71" s="8">
        <v>1000</v>
      </c>
      <c r="H71" s="8" cm="1">
        <f t="array" ref="H71">MMULT(F71,G71)</f>
        <v>3000</v>
      </c>
    </row>
    <row r="72" spans="1:8" x14ac:dyDescent="0.3">
      <c r="B72" s="8">
        <v>4</v>
      </c>
      <c r="C72" s="8" t="s">
        <v>182</v>
      </c>
      <c r="D72" s="8" t="s">
        <v>127</v>
      </c>
      <c r="E72" s="7">
        <v>4170316</v>
      </c>
      <c r="F72" s="8">
        <v>3</v>
      </c>
      <c r="G72" s="8">
        <v>1000</v>
      </c>
      <c r="H72" s="8" cm="1">
        <f t="array" ref="H72">MMULT(F72,G72)</f>
        <v>3000</v>
      </c>
    </row>
    <row r="73" spans="1:8" x14ac:dyDescent="0.3">
      <c r="B73" s="8">
        <v>5</v>
      </c>
      <c r="C73" s="8" t="s">
        <v>181</v>
      </c>
      <c r="D73" s="8" t="s">
        <v>101</v>
      </c>
      <c r="E73" s="7">
        <v>4170210</v>
      </c>
      <c r="F73" s="8">
        <v>3</v>
      </c>
      <c r="G73" s="8">
        <v>1000</v>
      </c>
      <c r="H73" s="8" cm="1">
        <f t="array" ref="H73">MMULT(F73,G73)</f>
        <v>3000</v>
      </c>
    </row>
    <row r="74" spans="1:8" x14ac:dyDescent="0.3">
      <c r="B74" s="8">
        <v>6</v>
      </c>
      <c r="C74" s="8" t="s">
        <v>185</v>
      </c>
      <c r="D74" s="8" t="s">
        <v>56</v>
      </c>
      <c r="E74" s="7">
        <v>4170320</v>
      </c>
      <c r="F74" s="8">
        <v>3</v>
      </c>
      <c r="G74" s="8">
        <v>1000</v>
      </c>
      <c r="H74" s="8" cm="1">
        <f t="array" ref="H74">MMULT(F74,G74)</f>
        <v>3000</v>
      </c>
    </row>
    <row r="75" spans="1:8" x14ac:dyDescent="0.3">
      <c r="D75" s="8"/>
      <c r="H75" s="8">
        <f>SUBTOTAL(109,Table136831[Course Price])</f>
        <v>17000</v>
      </c>
    </row>
    <row r="77" spans="1:8" x14ac:dyDescent="0.3">
      <c r="A77" s="10" t="s">
        <v>63</v>
      </c>
      <c r="B77" s="8" t="s">
        <v>193</v>
      </c>
    </row>
    <row r="78" spans="1:8" x14ac:dyDescent="0.3">
      <c r="B78" s="8" t="s">
        <v>93</v>
      </c>
      <c r="C78" s="8" t="s">
        <v>13</v>
      </c>
      <c r="D78" s="8" t="s">
        <v>162</v>
      </c>
      <c r="E78" s="7" t="s">
        <v>2</v>
      </c>
      <c r="F78" s="8" t="s">
        <v>3</v>
      </c>
      <c r="G78" s="8" t="s">
        <v>11</v>
      </c>
      <c r="H78" s="8" t="s">
        <v>12</v>
      </c>
    </row>
    <row r="79" spans="1:8" x14ac:dyDescent="0.3">
      <c r="B79" s="8">
        <v>1</v>
      </c>
      <c r="C79" s="8" t="s">
        <v>194</v>
      </c>
      <c r="D79" s="8" t="s">
        <v>183</v>
      </c>
      <c r="E79" s="7">
        <v>4170410</v>
      </c>
      <c r="F79" s="8">
        <v>3</v>
      </c>
      <c r="G79" s="8">
        <v>1000</v>
      </c>
      <c r="H79" s="8" cm="1">
        <f t="array" ref="H79">MMULT(F79,G79)</f>
        <v>3000</v>
      </c>
    </row>
    <row r="80" spans="1:8" x14ac:dyDescent="0.3">
      <c r="B80" s="8">
        <v>2</v>
      </c>
      <c r="C80" s="8" t="s">
        <v>195</v>
      </c>
      <c r="D80" s="9" t="s">
        <v>150</v>
      </c>
      <c r="E80" s="7">
        <v>4170402</v>
      </c>
      <c r="F80" s="8">
        <v>3</v>
      </c>
      <c r="G80" s="8">
        <v>1000</v>
      </c>
      <c r="H80" s="8" cm="1">
        <f t="array" ref="H80">MMULT(F80,G80)</f>
        <v>3000</v>
      </c>
    </row>
    <row r="81" spans="2:8" x14ac:dyDescent="0.3">
      <c r="B81" s="8">
        <v>3</v>
      </c>
      <c r="C81" s="8" t="s">
        <v>196</v>
      </c>
      <c r="D81" s="8" t="s">
        <v>57</v>
      </c>
      <c r="E81" s="7">
        <v>4170309</v>
      </c>
      <c r="F81" s="8">
        <v>3</v>
      </c>
      <c r="G81" s="8">
        <v>1000</v>
      </c>
      <c r="H81" s="8" cm="1">
        <f t="array" ref="H81">MMULT(F81,G81)</f>
        <v>3000</v>
      </c>
    </row>
    <row r="82" spans="2:8" x14ac:dyDescent="0.3">
      <c r="B82" s="8">
        <v>4</v>
      </c>
      <c r="C82" s="8" t="s">
        <v>198</v>
      </c>
      <c r="D82" s="8" t="s">
        <v>197</v>
      </c>
      <c r="E82" s="7">
        <v>4170408</v>
      </c>
      <c r="F82" s="8">
        <v>3</v>
      </c>
      <c r="G82" s="8">
        <v>1000</v>
      </c>
      <c r="H82" s="8" cm="1">
        <f t="array" ref="H82">MMULT(F82,G82)</f>
        <v>3000</v>
      </c>
    </row>
    <row r="83" spans="2:8" x14ac:dyDescent="0.3">
      <c r="D83" s="8"/>
      <c r="H83" s="8">
        <f>SUBTOTAL(109,Table13682333[Course Price])</f>
        <v>12000</v>
      </c>
    </row>
  </sheetData>
  <phoneticPr fontId="1" type="noConversion"/>
  <hyperlinks>
    <hyperlink ref="A3" location="Grades!B3" display="Grades" xr:uid="{510B0BB2-EECB-47AB-878A-1D1F837714AB}"/>
    <hyperlink ref="A14" location="Grades!B14" display="Grades" xr:uid="{1F895F04-220A-4A87-8194-66BDCDC88359}"/>
    <hyperlink ref="A25" location="Grades!B25" display="Grades" xr:uid="{8984B49F-5290-4CFC-8805-DE45DB9CFBBC}"/>
    <hyperlink ref="A36" location="Grades!B36" display="Grades" xr:uid="{FC155F72-54C0-4938-9AD3-FAF6EA92F340}"/>
    <hyperlink ref="A46" location="Grades!B46" display="Grades" xr:uid="{FC3E8CC9-90D6-4316-828D-9BDABDD9C319}"/>
    <hyperlink ref="A56" location="Grades!B56" display="Grades" xr:uid="{1D39CBA0-4DA2-4250-A411-C509FB080175}"/>
    <hyperlink ref="A67" location="Grades!B67" display="Grades" xr:uid="{EE89FEBE-4EA8-41A9-80B6-80751E7549DD}"/>
    <hyperlink ref="A77" r:id="rId1" location="Grades!B77" xr:uid="{DAEFD0C4-4420-4EBA-A963-EEE614B079BE}"/>
  </hyperlinks>
  <pageMargins left="0.7" right="0.7" top="0.75" bottom="0.75" header="0.3" footer="0.3"/>
  <pageSetup orientation="portrait"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D615-ABF8-45A5-A4C3-80C40388C6BC}">
  <sheetPr codeName="Sheet2"/>
  <dimension ref="A1:L84"/>
  <sheetViews>
    <sheetView tabSelected="1" topLeftCell="A69" zoomScale="122" zoomScaleNormal="100" workbookViewId="0">
      <selection activeCell="B77" sqref="B77"/>
    </sheetView>
  </sheetViews>
  <sheetFormatPr defaultRowHeight="14.4" x14ac:dyDescent="0.3"/>
  <cols>
    <col min="1" max="1" width="6.5546875" bestFit="1" customWidth="1"/>
    <col min="2" max="2" width="10.6640625" bestFit="1" customWidth="1"/>
    <col min="3" max="3" width="30.88671875" bestFit="1" customWidth="1"/>
    <col min="4" max="4" width="10.5546875" bestFit="1" customWidth="1"/>
    <col min="5" max="5" width="23.109375" bestFit="1" customWidth="1"/>
    <col min="6" max="6" width="10.21875" customWidth="1"/>
    <col min="7" max="7" width="14.6640625" bestFit="1" customWidth="1"/>
    <col min="8" max="8" width="11.77734375" bestFit="1" customWidth="1"/>
    <col min="9" max="9" width="5.44140625" bestFit="1" customWidth="1"/>
    <col min="10" max="10" width="9" bestFit="1" customWidth="1"/>
    <col min="11" max="11" width="7" bestFit="1" customWidth="1"/>
    <col min="12" max="12" width="3.109375" bestFit="1" customWidth="1"/>
    <col min="13" max="13" width="7.109375" bestFit="1" customWidth="1"/>
    <col min="15" max="15" width="5.5546875" bestFit="1" customWidth="1"/>
    <col min="16" max="16" width="7.33203125" bestFit="1" customWidth="1"/>
    <col min="17" max="17" width="3.109375" bestFit="1" customWidth="1"/>
  </cols>
  <sheetData>
    <row r="1" spans="1:11" x14ac:dyDescent="0.3">
      <c r="A1" s="37" t="s">
        <v>152</v>
      </c>
      <c r="B1" s="37"/>
      <c r="C1" s="37"/>
      <c r="E1" t="s">
        <v>158</v>
      </c>
    </row>
    <row r="3" spans="1:11" x14ac:dyDescent="0.3">
      <c r="B3" t="s">
        <v>0</v>
      </c>
    </row>
    <row r="4" spans="1:11" x14ac:dyDescent="0.3">
      <c r="B4" s="1" t="s">
        <v>1</v>
      </c>
      <c r="C4" s="1" t="s">
        <v>13</v>
      </c>
      <c r="D4" t="s">
        <v>23</v>
      </c>
      <c r="E4" t="s">
        <v>83</v>
      </c>
      <c r="F4" t="s">
        <v>24</v>
      </c>
      <c r="I4" s="2" t="s">
        <v>28</v>
      </c>
      <c r="J4" s="2">
        <v>3.1164710000000002</v>
      </c>
      <c r="K4" s="3" t="s">
        <v>26</v>
      </c>
    </row>
    <row r="5" spans="1:11" x14ac:dyDescent="0.3">
      <c r="B5" s="23">
        <v>1</v>
      </c>
      <c r="C5" s="29" t="s">
        <v>5</v>
      </c>
      <c r="D5" s="8"/>
      <c r="E5" s="21"/>
      <c r="F5" s="21" t="s">
        <v>25</v>
      </c>
      <c r="I5" s="2" t="s">
        <v>29</v>
      </c>
      <c r="J5" s="2">
        <v>3.1164999999999998</v>
      </c>
      <c r="K5" s="3" t="s">
        <v>26</v>
      </c>
    </row>
    <row r="6" spans="1:11" x14ac:dyDescent="0.3">
      <c r="B6" s="26">
        <v>2</v>
      </c>
      <c r="C6" s="8" t="s">
        <v>6</v>
      </c>
      <c r="D6" s="8"/>
      <c r="E6" s="21"/>
      <c r="F6" s="21" t="s">
        <v>25</v>
      </c>
    </row>
    <row r="7" spans="1:11" x14ac:dyDescent="0.3">
      <c r="B7" s="23">
        <v>3</v>
      </c>
      <c r="C7" s="29" t="s">
        <v>7</v>
      </c>
      <c r="D7" s="8"/>
      <c r="E7" s="21"/>
      <c r="F7" s="21" t="s">
        <v>26</v>
      </c>
    </row>
    <row r="8" spans="1:11" x14ac:dyDescent="0.3">
      <c r="B8" s="26">
        <v>4</v>
      </c>
      <c r="C8" s="8" t="s">
        <v>4</v>
      </c>
      <c r="D8" s="8"/>
      <c r="E8" s="21"/>
      <c r="F8" s="21" t="s">
        <v>26</v>
      </c>
    </row>
    <row r="9" spans="1:11" x14ac:dyDescent="0.3">
      <c r="B9" s="23">
        <v>5</v>
      </c>
      <c r="C9" s="29" t="s">
        <v>8</v>
      </c>
      <c r="D9" s="8"/>
      <c r="E9" s="21"/>
      <c r="F9" s="21" t="s">
        <v>26</v>
      </c>
    </row>
    <row r="10" spans="1:11" x14ac:dyDescent="0.3">
      <c r="B10" s="26">
        <v>6</v>
      </c>
      <c r="C10" s="8" t="s">
        <v>9</v>
      </c>
      <c r="D10" s="8"/>
      <c r="E10" s="21"/>
      <c r="F10" s="21" t="s">
        <v>25</v>
      </c>
    </row>
    <row r="11" spans="1:11" x14ac:dyDescent="0.3">
      <c r="B11" s="23">
        <v>7</v>
      </c>
      <c r="C11" s="29" t="s">
        <v>10</v>
      </c>
      <c r="D11" s="8"/>
      <c r="E11" s="21"/>
      <c r="F11" s="21" t="s">
        <v>27</v>
      </c>
    </row>
    <row r="14" spans="1:11" x14ac:dyDescent="0.3">
      <c r="B14" t="s">
        <v>22</v>
      </c>
    </row>
    <row r="15" spans="1:11" x14ac:dyDescent="0.3">
      <c r="B15" s="1" t="s">
        <v>1</v>
      </c>
      <c r="C15" s="1" t="s">
        <v>13</v>
      </c>
      <c r="D15" t="s">
        <v>23</v>
      </c>
      <c r="E15" t="s">
        <v>83</v>
      </c>
      <c r="F15" t="s">
        <v>24</v>
      </c>
      <c r="G15" s="16" t="s">
        <v>41</v>
      </c>
      <c r="H15" s="15" t="s">
        <v>42</v>
      </c>
      <c r="I15" s="2" t="s">
        <v>28</v>
      </c>
      <c r="J15" s="18">
        <v>3.57</v>
      </c>
      <c r="K15" s="3" t="s">
        <v>25</v>
      </c>
    </row>
    <row r="16" spans="1:11" x14ac:dyDescent="0.3">
      <c r="B16" s="23">
        <v>1</v>
      </c>
      <c r="C16" s="8" t="s">
        <v>14</v>
      </c>
      <c r="D16" s="13" t="s">
        <v>30</v>
      </c>
      <c r="E16" s="8" t="s">
        <v>52</v>
      </c>
      <c r="F16" s="21" t="s">
        <v>61</v>
      </c>
      <c r="G16" s="24"/>
      <c r="H16" s="25" t="s">
        <v>40</v>
      </c>
      <c r="I16" s="2" t="s">
        <v>29</v>
      </c>
      <c r="J16" s="2">
        <v>3.3431999999999999</v>
      </c>
      <c r="K16" s="3" t="s">
        <v>25</v>
      </c>
    </row>
    <row r="17" spans="1:11" x14ac:dyDescent="0.3">
      <c r="B17" s="26">
        <v>2</v>
      </c>
      <c r="C17" s="8" t="s">
        <v>15</v>
      </c>
      <c r="D17" s="8" t="s">
        <v>30</v>
      </c>
      <c r="E17" s="8" t="s">
        <v>51</v>
      </c>
      <c r="F17" s="21" t="s">
        <v>26</v>
      </c>
      <c r="G17" s="27" t="s">
        <v>43</v>
      </c>
      <c r="H17" s="28" t="s">
        <v>48</v>
      </c>
    </row>
    <row r="18" spans="1:11" x14ac:dyDescent="0.3">
      <c r="B18" s="23">
        <v>3</v>
      </c>
      <c r="C18" s="8" t="s">
        <v>18</v>
      </c>
      <c r="D18" s="8" t="s">
        <v>31</v>
      </c>
      <c r="E18" s="8" t="s">
        <v>50</v>
      </c>
      <c r="F18" s="21" t="s">
        <v>62</v>
      </c>
      <c r="G18" s="24" t="s">
        <v>38</v>
      </c>
      <c r="H18" s="25" t="s">
        <v>49</v>
      </c>
    </row>
    <row r="19" spans="1:11" x14ac:dyDescent="0.3">
      <c r="B19" s="26">
        <v>4</v>
      </c>
      <c r="C19" s="8" t="s">
        <v>17</v>
      </c>
      <c r="D19" s="8" t="s">
        <v>32</v>
      </c>
      <c r="E19" s="8" t="s">
        <v>47</v>
      </c>
      <c r="F19" s="21" t="s">
        <v>61</v>
      </c>
      <c r="G19" s="27"/>
      <c r="H19" s="28"/>
    </row>
    <row r="20" spans="1:11" x14ac:dyDescent="0.3">
      <c r="B20" s="23">
        <v>5</v>
      </c>
      <c r="C20" s="8" t="s">
        <v>16</v>
      </c>
      <c r="D20" s="8" t="s">
        <v>33</v>
      </c>
      <c r="E20" s="8" t="s">
        <v>45</v>
      </c>
      <c r="F20" s="21" t="s">
        <v>27</v>
      </c>
      <c r="G20" s="24"/>
      <c r="H20" s="25"/>
    </row>
    <row r="21" spans="1:11" x14ac:dyDescent="0.3">
      <c r="B21" s="26">
        <v>6</v>
      </c>
      <c r="C21" s="8" t="s">
        <v>19</v>
      </c>
      <c r="D21" s="8" t="s">
        <v>34</v>
      </c>
      <c r="E21" s="8" t="s">
        <v>44</v>
      </c>
      <c r="F21" s="21" t="s">
        <v>61</v>
      </c>
      <c r="G21" s="27"/>
      <c r="H21" s="28"/>
    </row>
    <row r="22" spans="1:11" x14ac:dyDescent="0.3">
      <c r="B22" s="23">
        <v>7</v>
      </c>
      <c r="C22" s="8" t="s">
        <v>20</v>
      </c>
      <c r="D22" s="8" t="s">
        <v>35</v>
      </c>
      <c r="E22" s="8" t="s">
        <v>46</v>
      </c>
      <c r="F22" s="21" t="s">
        <v>62</v>
      </c>
      <c r="G22" s="24"/>
      <c r="H22" s="25" t="s">
        <v>38</v>
      </c>
    </row>
    <row r="25" spans="1:11" x14ac:dyDescent="0.3">
      <c r="B25" t="s">
        <v>53</v>
      </c>
    </row>
    <row r="26" spans="1:11" x14ac:dyDescent="0.3">
      <c r="B26" t="s">
        <v>1</v>
      </c>
      <c r="C26" t="s">
        <v>13</v>
      </c>
      <c r="D26" t="s">
        <v>23</v>
      </c>
      <c r="E26" t="s">
        <v>83</v>
      </c>
      <c r="F26" t="s">
        <v>24</v>
      </c>
      <c r="I26" s="3" t="s">
        <v>28</v>
      </c>
      <c r="J26" s="14">
        <v>3.3135289999999999</v>
      </c>
      <c r="K26" s="3" t="s">
        <v>25</v>
      </c>
    </row>
    <row r="27" spans="1:11" x14ac:dyDescent="0.3">
      <c r="A27" s="4" t="s">
        <v>72</v>
      </c>
      <c r="B27" s="20">
        <v>1</v>
      </c>
      <c r="C27" s="8" t="s">
        <v>54</v>
      </c>
      <c r="D27" s="8" t="s">
        <v>35</v>
      </c>
      <c r="E27" s="8" t="s">
        <v>87</v>
      </c>
      <c r="F27" s="21" t="s">
        <v>62</v>
      </c>
      <c r="I27" s="3" t="s">
        <v>29</v>
      </c>
      <c r="J27" s="14">
        <v>3.3332999999999999</v>
      </c>
      <c r="K27" s="3" t="s">
        <v>25</v>
      </c>
    </row>
    <row r="28" spans="1:11" x14ac:dyDescent="0.3">
      <c r="A28" s="4" t="s">
        <v>72</v>
      </c>
      <c r="B28" s="20">
        <v>2</v>
      </c>
      <c r="C28" s="8" t="s">
        <v>65</v>
      </c>
      <c r="D28" s="8" t="s">
        <v>38</v>
      </c>
      <c r="E28" s="8" t="s">
        <v>86</v>
      </c>
      <c r="F28" s="21" t="s">
        <v>62</v>
      </c>
    </row>
    <row r="29" spans="1:11" x14ac:dyDescent="0.3">
      <c r="B29" s="20">
        <v>3</v>
      </c>
      <c r="C29" s="8" t="s">
        <v>64</v>
      </c>
      <c r="D29" s="8"/>
      <c r="E29" s="8"/>
      <c r="F29" s="21" t="s">
        <v>25</v>
      </c>
    </row>
    <row r="30" spans="1:11" x14ac:dyDescent="0.3">
      <c r="A30" s="4" t="s">
        <v>72</v>
      </c>
      <c r="B30" s="20">
        <v>4</v>
      </c>
      <c r="C30" s="8" t="s">
        <v>59</v>
      </c>
      <c r="D30" s="8" t="s">
        <v>68</v>
      </c>
      <c r="E30" s="8"/>
      <c r="F30" s="21" t="s">
        <v>27</v>
      </c>
    </row>
    <row r="31" spans="1:11" x14ac:dyDescent="0.3">
      <c r="A31" s="4" t="s">
        <v>72</v>
      </c>
      <c r="B31" s="20">
        <v>5</v>
      </c>
      <c r="C31" s="8" t="s">
        <v>60</v>
      </c>
      <c r="D31" s="8" t="s">
        <v>70</v>
      </c>
      <c r="E31" s="8" t="s">
        <v>85</v>
      </c>
      <c r="F31" s="21" t="s">
        <v>25</v>
      </c>
    </row>
    <row r="32" spans="1:11" x14ac:dyDescent="0.3">
      <c r="A32" s="4" t="s">
        <v>72</v>
      </c>
      <c r="B32" s="20">
        <v>6</v>
      </c>
      <c r="C32" s="8" t="s">
        <v>58</v>
      </c>
      <c r="D32" s="8" t="s">
        <v>69</v>
      </c>
      <c r="E32" s="8" t="s">
        <v>84</v>
      </c>
      <c r="F32" s="21" t="s">
        <v>25</v>
      </c>
    </row>
    <row r="33" spans="1:12" x14ac:dyDescent="0.3">
      <c r="B33" s="22">
        <v>7</v>
      </c>
      <c r="C33" s="22" t="s">
        <v>66</v>
      </c>
      <c r="D33" s="22" t="s">
        <v>71</v>
      </c>
      <c r="E33" s="22" t="s">
        <v>71</v>
      </c>
      <c r="F33" s="22" t="s">
        <v>61</v>
      </c>
    </row>
    <row r="36" spans="1:12" x14ac:dyDescent="0.3">
      <c r="B36" t="s">
        <v>92</v>
      </c>
    </row>
    <row r="37" spans="1:12" x14ac:dyDescent="0.3">
      <c r="B37" t="s">
        <v>1</v>
      </c>
      <c r="C37" t="s">
        <v>13</v>
      </c>
      <c r="D37" t="s">
        <v>23</v>
      </c>
      <c r="E37" t="s">
        <v>83</v>
      </c>
      <c r="F37" t="s">
        <v>24</v>
      </c>
      <c r="I37" s="3" t="s">
        <v>28</v>
      </c>
      <c r="J37" s="3">
        <v>3.2359</v>
      </c>
      <c r="K37" s="3" t="s">
        <v>25</v>
      </c>
    </row>
    <row r="38" spans="1:12" x14ac:dyDescent="0.3">
      <c r="A38" s="11" t="s">
        <v>72</v>
      </c>
      <c r="B38" s="20">
        <v>1</v>
      </c>
      <c r="C38" s="8" t="s">
        <v>94</v>
      </c>
      <c r="D38" s="8" t="s">
        <v>31</v>
      </c>
      <c r="E38" s="8" t="s">
        <v>119</v>
      </c>
      <c r="F38" s="21" t="s">
        <v>26</v>
      </c>
      <c r="I38" s="3" t="s">
        <v>29</v>
      </c>
      <c r="J38" s="3">
        <v>3.3090000000000002</v>
      </c>
      <c r="K38" s="3" t="s">
        <v>25</v>
      </c>
    </row>
    <row r="39" spans="1:12" x14ac:dyDescent="0.3">
      <c r="A39" s="4" t="s">
        <v>72</v>
      </c>
      <c r="B39" s="20">
        <v>2</v>
      </c>
      <c r="C39" s="8" t="s">
        <v>98</v>
      </c>
      <c r="D39" s="8" t="s">
        <v>108</v>
      </c>
      <c r="E39" s="8" t="s">
        <v>86</v>
      </c>
      <c r="F39" s="21" t="s">
        <v>62</v>
      </c>
    </row>
    <row r="40" spans="1:12" x14ac:dyDescent="0.3">
      <c r="A40" s="4" t="s">
        <v>72</v>
      </c>
      <c r="B40" s="20">
        <v>3</v>
      </c>
      <c r="C40" s="8" t="s">
        <v>99</v>
      </c>
      <c r="D40" s="8" t="s">
        <v>69</v>
      </c>
      <c r="E40" s="8" t="s">
        <v>120</v>
      </c>
      <c r="F40" s="21" t="s">
        <v>27</v>
      </c>
    </row>
    <row r="41" spans="1:12" x14ac:dyDescent="0.3">
      <c r="A41" s="4" t="s">
        <v>72</v>
      </c>
      <c r="B41" s="20">
        <v>4</v>
      </c>
      <c r="C41" s="8" t="s">
        <v>100</v>
      </c>
      <c r="D41" s="8" t="s">
        <v>122</v>
      </c>
      <c r="E41" s="8" t="s">
        <v>121</v>
      </c>
      <c r="F41" s="21" t="s">
        <v>25</v>
      </c>
    </row>
    <row r="42" spans="1:12" x14ac:dyDescent="0.3">
      <c r="A42" s="4" t="s">
        <v>72</v>
      </c>
      <c r="B42" s="20">
        <v>5</v>
      </c>
      <c r="C42" s="8" t="s">
        <v>102</v>
      </c>
      <c r="D42" s="8" t="s">
        <v>69</v>
      </c>
      <c r="E42" s="8" t="s">
        <v>84</v>
      </c>
      <c r="F42" s="21" t="s">
        <v>26</v>
      </c>
    </row>
    <row r="43" spans="1:12" x14ac:dyDescent="0.3">
      <c r="A43" s="4" t="s">
        <v>72</v>
      </c>
      <c r="B43" s="20">
        <v>6</v>
      </c>
      <c r="C43" s="8" t="s">
        <v>104</v>
      </c>
      <c r="D43" s="8" t="s">
        <v>78</v>
      </c>
      <c r="E43" s="8" t="s">
        <v>107</v>
      </c>
      <c r="F43" s="21" t="s">
        <v>61</v>
      </c>
    </row>
    <row r="44" spans="1:12" x14ac:dyDescent="0.3">
      <c r="B44" s="5"/>
      <c r="F44" s="6"/>
    </row>
    <row r="46" spans="1:12" x14ac:dyDescent="0.3">
      <c r="B46" t="s">
        <v>125</v>
      </c>
    </row>
    <row r="47" spans="1:12" x14ac:dyDescent="0.3">
      <c r="B47" t="s">
        <v>1</v>
      </c>
      <c r="C47" t="s">
        <v>13</v>
      </c>
      <c r="D47" s="19" t="s">
        <v>23</v>
      </c>
      <c r="E47" s="19" t="s">
        <v>136</v>
      </c>
      <c r="F47" s="19" t="s">
        <v>83</v>
      </c>
      <c r="G47" t="s">
        <v>137</v>
      </c>
      <c r="H47" t="s">
        <v>24</v>
      </c>
      <c r="J47" s="3" t="s">
        <v>28</v>
      </c>
      <c r="K47" s="3">
        <v>3.2347000000000001</v>
      </c>
      <c r="L47" s="3" t="s">
        <v>25</v>
      </c>
    </row>
    <row r="48" spans="1:12" x14ac:dyDescent="0.3">
      <c r="A48" s="4" t="s">
        <v>72</v>
      </c>
      <c r="B48" s="20">
        <v>1</v>
      </c>
      <c r="C48" s="8" t="s">
        <v>126</v>
      </c>
      <c r="D48" s="8">
        <v>18.5</v>
      </c>
      <c r="E48" s="8">
        <v>20</v>
      </c>
      <c r="F48" s="8">
        <v>26.5</v>
      </c>
      <c r="G48" s="8">
        <v>30</v>
      </c>
      <c r="H48" s="21" t="s">
        <v>26</v>
      </c>
      <c r="J48" s="3" t="s">
        <v>29</v>
      </c>
      <c r="K48" s="3">
        <v>3.2940999999999998</v>
      </c>
      <c r="L48" s="3" t="s">
        <v>25</v>
      </c>
    </row>
    <row r="49" spans="1:12" x14ac:dyDescent="0.3">
      <c r="A49" s="4" t="s">
        <v>72</v>
      </c>
      <c r="B49" s="20">
        <v>2</v>
      </c>
      <c r="C49" s="8" t="s">
        <v>127</v>
      </c>
      <c r="D49" s="8">
        <v>17</v>
      </c>
      <c r="E49" s="8">
        <v>20</v>
      </c>
      <c r="F49" s="8">
        <v>34</v>
      </c>
      <c r="G49" s="8">
        <v>40</v>
      </c>
      <c r="H49" s="21" t="s">
        <v>62</v>
      </c>
    </row>
    <row r="50" spans="1:12" x14ac:dyDescent="0.3">
      <c r="A50" s="4" t="s">
        <v>72</v>
      </c>
      <c r="B50" s="20">
        <v>3</v>
      </c>
      <c r="C50" s="8" t="s">
        <v>128</v>
      </c>
      <c r="D50" s="8">
        <v>9</v>
      </c>
      <c r="E50" s="8">
        <v>10</v>
      </c>
      <c r="F50" s="8">
        <v>40</v>
      </c>
      <c r="G50" s="8">
        <v>40</v>
      </c>
      <c r="H50" s="21" t="s">
        <v>27</v>
      </c>
    </row>
    <row r="51" spans="1:12" x14ac:dyDescent="0.3">
      <c r="A51" s="4" t="s">
        <v>72</v>
      </c>
      <c r="B51" s="20">
        <v>4</v>
      </c>
      <c r="C51" s="8" t="s">
        <v>129</v>
      </c>
      <c r="D51" s="8">
        <v>11</v>
      </c>
      <c r="E51" s="8">
        <v>20</v>
      </c>
      <c r="F51" s="8">
        <v>35</v>
      </c>
      <c r="G51" s="8">
        <v>40</v>
      </c>
      <c r="H51" s="21" t="s">
        <v>25</v>
      </c>
    </row>
    <row r="52" spans="1:12" x14ac:dyDescent="0.3">
      <c r="A52" s="4" t="s">
        <v>72</v>
      </c>
      <c r="B52" s="20">
        <v>5</v>
      </c>
      <c r="C52" s="8" t="s">
        <v>130</v>
      </c>
      <c r="D52" s="8">
        <v>14</v>
      </c>
      <c r="E52" s="8">
        <v>20</v>
      </c>
      <c r="F52" s="8">
        <v>34</v>
      </c>
      <c r="G52" s="8">
        <v>40</v>
      </c>
      <c r="H52" s="21" t="s">
        <v>25</v>
      </c>
    </row>
    <row r="53" spans="1:12" x14ac:dyDescent="0.3">
      <c r="A53" s="4" t="s">
        <v>72</v>
      </c>
      <c r="B53" s="20">
        <v>6</v>
      </c>
      <c r="C53" s="8" t="s">
        <v>131</v>
      </c>
      <c r="D53" s="8">
        <v>14</v>
      </c>
      <c r="E53" s="8">
        <v>20</v>
      </c>
      <c r="F53" s="8">
        <v>34</v>
      </c>
      <c r="G53" s="8">
        <v>40</v>
      </c>
      <c r="H53" s="21" t="s">
        <v>25</v>
      </c>
    </row>
    <row r="56" spans="1:12" x14ac:dyDescent="0.3">
      <c r="B56" t="s">
        <v>148</v>
      </c>
    </row>
    <row r="57" spans="1:12" x14ac:dyDescent="0.3">
      <c r="B57" t="s">
        <v>1</v>
      </c>
      <c r="C57" t="s">
        <v>13</v>
      </c>
      <c r="D57" s="19" t="s">
        <v>23</v>
      </c>
      <c r="E57" s="19" t="s">
        <v>136</v>
      </c>
      <c r="F57" s="19" t="s">
        <v>83</v>
      </c>
      <c r="G57" t="s">
        <v>137</v>
      </c>
      <c r="H57" t="s">
        <v>24</v>
      </c>
      <c r="J57" s="3" t="s">
        <v>28</v>
      </c>
      <c r="K57" s="3">
        <v>3.2044000000000001</v>
      </c>
      <c r="L57" s="3" t="s">
        <v>25</v>
      </c>
    </row>
    <row r="58" spans="1:12" x14ac:dyDescent="0.3">
      <c r="A58" s="4" t="s">
        <v>72</v>
      </c>
      <c r="B58" s="20">
        <v>1</v>
      </c>
      <c r="C58" s="8" t="s">
        <v>154</v>
      </c>
      <c r="D58" s="8">
        <v>11.2</v>
      </c>
      <c r="E58" s="8">
        <v>20</v>
      </c>
      <c r="F58" s="8">
        <v>31.2</v>
      </c>
      <c r="G58" s="8">
        <v>40</v>
      </c>
      <c r="H58" s="21" t="s">
        <v>27</v>
      </c>
      <c r="J58" s="3" t="s">
        <v>29</v>
      </c>
      <c r="K58" s="3">
        <v>3.2784</v>
      </c>
      <c r="L58" s="3" t="s">
        <v>25</v>
      </c>
    </row>
    <row r="59" spans="1:12" x14ac:dyDescent="0.3">
      <c r="A59" s="4" t="s">
        <v>72</v>
      </c>
      <c r="B59" s="20">
        <v>2</v>
      </c>
      <c r="C59" s="8" t="s">
        <v>149</v>
      </c>
      <c r="D59" s="8">
        <v>13</v>
      </c>
      <c r="E59" s="8">
        <v>20</v>
      </c>
      <c r="F59" s="8">
        <v>22.5</v>
      </c>
      <c r="G59" s="8">
        <v>30</v>
      </c>
      <c r="H59" s="36" t="s">
        <v>26</v>
      </c>
    </row>
    <row r="60" spans="1:12" x14ac:dyDescent="0.3">
      <c r="A60" s="4" t="s">
        <v>72</v>
      </c>
      <c r="B60" s="20">
        <v>3</v>
      </c>
      <c r="C60" s="8" t="s">
        <v>150</v>
      </c>
      <c r="D60" s="8">
        <v>20</v>
      </c>
      <c r="E60" s="8">
        <v>20</v>
      </c>
      <c r="F60" s="8">
        <v>39</v>
      </c>
      <c r="G60" s="8">
        <v>40</v>
      </c>
      <c r="H60" s="36" t="s">
        <v>25</v>
      </c>
    </row>
    <row r="61" spans="1:12" x14ac:dyDescent="0.3">
      <c r="A61" s="4" t="s">
        <v>72</v>
      </c>
      <c r="B61" s="20">
        <v>4</v>
      </c>
      <c r="C61" s="8" t="s">
        <v>151</v>
      </c>
      <c r="D61" s="8">
        <v>19</v>
      </c>
      <c r="E61" s="8">
        <v>20</v>
      </c>
      <c r="F61" s="8">
        <v>39</v>
      </c>
      <c r="G61" s="8">
        <v>40</v>
      </c>
      <c r="H61" s="21" t="s">
        <v>25</v>
      </c>
    </row>
    <row r="62" spans="1:12" x14ac:dyDescent="0.3">
      <c r="A62" s="4" t="s">
        <v>72</v>
      </c>
      <c r="B62" s="20">
        <v>5</v>
      </c>
      <c r="C62" s="8" t="s">
        <v>155</v>
      </c>
      <c r="D62" s="8">
        <v>16</v>
      </c>
      <c r="E62" s="8">
        <v>20</v>
      </c>
      <c r="F62" s="8">
        <v>26</v>
      </c>
      <c r="G62" s="8">
        <v>30</v>
      </c>
      <c r="H62" s="21" t="s">
        <v>62</v>
      </c>
    </row>
    <row r="63" spans="1:12" x14ac:dyDescent="0.3">
      <c r="A63" s="4" t="s">
        <v>72</v>
      </c>
      <c r="B63" s="20">
        <v>6</v>
      </c>
      <c r="C63" s="8" t="s">
        <v>156</v>
      </c>
      <c r="D63" s="8">
        <v>14</v>
      </c>
      <c r="E63" s="8">
        <v>25</v>
      </c>
      <c r="F63" s="8">
        <v>32</v>
      </c>
      <c r="G63" s="8">
        <v>40</v>
      </c>
      <c r="H63" s="21" t="s">
        <v>27</v>
      </c>
    </row>
    <row r="64" spans="1:12" x14ac:dyDescent="0.3">
      <c r="A64" s="4" t="s">
        <v>72</v>
      </c>
      <c r="B64" s="20">
        <v>7</v>
      </c>
      <c r="C64" s="8" t="s">
        <v>157</v>
      </c>
      <c r="D64" s="8">
        <v>13</v>
      </c>
      <c r="E64" s="8">
        <v>20</v>
      </c>
      <c r="F64" s="8">
        <v>32</v>
      </c>
      <c r="G64" s="8">
        <v>40</v>
      </c>
      <c r="H64" s="21" t="s">
        <v>62</v>
      </c>
    </row>
    <row r="67" spans="1:12" x14ac:dyDescent="0.3">
      <c r="B67" t="s">
        <v>178</v>
      </c>
    </row>
    <row r="68" spans="1:12" x14ac:dyDescent="0.3">
      <c r="B68" t="s">
        <v>1</v>
      </c>
      <c r="C68" t="s">
        <v>13</v>
      </c>
      <c r="D68" s="19" t="s">
        <v>23</v>
      </c>
      <c r="E68" s="19" t="s">
        <v>136</v>
      </c>
      <c r="F68" s="19" t="s">
        <v>83</v>
      </c>
      <c r="G68" t="s">
        <v>137</v>
      </c>
      <c r="H68" t="s">
        <v>24</v>
      </c>
      <c r="J68" s="3" t="s">
        <v>28</v>
      </c>
      <c r="K68" s="3">
        <v>3.2141000000000002</v>
      </c>
      <c r="L68" s="3"/>
    </row>
    <row r="69" spans="1:12" x14ac:dyDescent="0.3">
      <c r="A69" s="4" t="s">
        <v>72</v>
      </c>
      <c r="B69" s="20">
        <v>1</v>
      </c>
      <c r="C69" s="8" t="s">
        <v>179</v>
      </c>
      <c r="D69" s="8">
        <v>8</v>
      </c>
      <c r="E69" s="8">
        <v>10</v>
      </c>
      <c r="F69" s="8">
        <v>28</v>
      </c>
      <c r="G69" s="8">
        <v>30</v>
      </c>
      <c r="H69" s="21" t="s">
        <v>192</v>
      </c>
      <c r="J69" s="3" t="s">
        <v>29</v>
      </c>
      <c r="K69" s="3">
        <v>3.2692999999999999</v>
      </c>
      <c r="L69" s="3"/>
    </row>
    <row r="70" spans="1:12" x14ac:dyDescent="0.3">
      <c r="A70" s="4" t="s">
        <v>72</v>
      </c>
      <c r="B70" s="20">
        <v>2</v>
      </c>
      <c r="C70" s="8" t="s">
        <v>183</v>
      </c>
      <c r="D70" s="8"/>
      <c r="E70" s="8"/>
      <c r="F70" s="8"/>
      <c r="G70" s="8"/>
      <c r="H70" s="21" t="s">
        <v>61</v>
      </c>
    </row>
    <row r="71" spans="1:12" x14ac:dyDescent="0.3">
      <c r="A71" s="4" t="s">
        <v>72</v>
      </c>
      <c r="B71" s="20">
        <v>3</v>
      </c>
      <c r="C71" s="8" t="s">
        <v>180</v>
      </c>
      <c r="D71" s="8">
        <v>13</v>
      </c>
      <c r="E71" s="8">
        <v>20</v>
      </c>
      <c r="F71" s="8">
        <v>33</v>
      </c>
      <c r="G71" s="8">
        <v>40</v>
      </c>
      <c r="H71" s="21" t="s">
        <v>27</v>
      </c>
    </row>
    <row r="72" spans="1:12" x14ac:dyDescent="0.3">
      <c r="A72" s="4" t="s">
        <v>72</v>
      </c>
      <c r="B72" s="20">
        <v>4</v>
      </c>
      <c r="C72" s="8" t="s">
        <v>182</v>
      </c>
      <c r="D72" s="8">
        <v>19</v>
      </c>
      <c r="E72" s="8">
        <v>20</v>
      </c>
      <c r="F72" s="8">
        <v>38</v>
      </c>
      <c r="G72" s="8">
        <v>40</v>
      </c>
      <c r="H72" s="21" t="s">
        <v>25</v>
      </c>
    </row>
    <row r="73" spans="1:12" x14ac:dyDescent="0.3">
      <c r="A73" s="4" t="s">
        <v>72</v>
      </c>
      <c r="B73" s="20">
        <v>5</v>
      </c>
      <c r="C73" s="8" t="s">
        <v>181</v>
      </c>
      <c r="D73" s="8">
        <v>20</v>
      </c>
      <c r="E73" s="8">
        <v>20</v>
      </c>
      <c r="F73" s="8">
        <v>40</v>
      </c>
      <c r="G73" s="8">
        <v>40</v>
      </c>
      <c r="H73" s="21" t="s">
        <v>25</v>
      </c>
    </row>
    <row r="74" spans="1:12" x14ac:dyDescent="0.3">
      <c r="A74" s="4" t="s">
        <v>72</v>
      </c>
      <c r="B74" s="20">
        <v>6</v>
      </c>
      <c r="C74" s="8" t="s">
        <v>185</v>
      </c>
      <c r="D74" s="8">
        <v>15.33</v>
      </c>
      <c r="E74" s="8">
        <v>20</v>
      </c>
      <c r="F74" s="8">
        <v>36.5</v>
      </c>
      <c r="G74" s="8">
        <v>40</v>
      </c>
      <c r="H74" s="21" t="s">
        <v>25</v>
      </c>
    </row>
    <row r="77" spans="1:12" x14ac:dyDescent="0.3">
      <c r="B77" t="s">
        <v>193</v>
      </c>
    </row>
    <row r="78" spans="1:12" x14ac:dyDescent="0.3">
      <c r="B78" t="s">
        <v>1</v>
      </c>
      <c r="C78" t="s">
        <v>13</v>
      </c>
      <c r="D78" s="19" t="s">
        <v>23</v>
      </c>
      <c r="E78" s="19" t="s">
        <v>136</v>
      </c>
      <c r="F78" s="19" t="s">
        <v>83</v>
      </c>
      <c r="G78" t="s">
        <v>137</v>
      </c>
      <c r="H78" t="s">
        <v>24</v>
      </c>
      <c r="J78" s="3" t="s">
        <v>28</v>
      </c>
      <c r="K78" s="3"/>
      <c r="L78" s="3"/>
    </row>
    <row r="79" spans="1:12" x14ac:dyDescent="0.3">
      <c r="A79" s="4"/>
      <c r="B79" s="20">
        <v>1</v>
      </c>
      <c r="C79" s="8" t="s">
        <v>194</v>
      </c>
      <c r="D79" s="8"/>
      <c r="E79" s="8"/>
      <c r="F79" s="8"/>
      <c r="G79" s="8"/>
      <c r="H79" s="21"/>
      <c r="J79" s="3" t="s">
        <v>29</v>
      </c>
      <c r="K79" s="3"/>
      <c r="L79" s="3"/>
    </row>
    <row r="80" spans="1:12" x14ac:dyDescent="0.3">
      <c r="A80" s="4" t="s">
        <v>72</v>
      </c>
      <c r="B80" s="20">
        <v>2</v>
      </c>
      <c r="C80" s="8" t="s">
        <v>195</v>
      </c>
      <c r="D80" s="8"/>
      <c r="E80" s="8"/>
      <c r="F80" s="8"/>
      <c r="G80" s="8"/>
      <c r="H80" s="21"/>
    </row>
    <row r="81" spans="1:8" x14ac:dyDescent="0.3">
      <c r="A81" s="4" t="s">
        <v>72</v>
      </c>
      <c r="B81" s="20">
        <v>3</v>
      </c>
      <c r="C81" s="8" t="s">
        <v>196</v>
      </c>
      <c r="D81" s="8"/>
      <c r="E81" s="8"/>
      <c r="F81" s="8"/>
      <c r="G81" s="8"/>
      <c r="H81" s="21"/>
    </row>
    <row r="82" spans="1:8" x14ac:dyDescent="0.3">
      <c r="A82" s="4" t="s">
        <v>72</v>
      </c>
      <c r="B82" s="20">
        <v>4</v>
      </c>
      <c r="C82" s="8" t="s">
        <v>198</v>
      </c>
      <c r="D82" s="8"/>
      <c r="E82" s="8"/>
      <c r="F82" s="8"/>
      <c r="G82" s="8"/>
      <c r="H82" s="21"/>
    </row>
    <row r="83" spans="1:8" x14ac:dyDescent="0.3">
      <c r="A83" s="4"/>
      <c r="B83" s="20"/>
      <c r="C83" s="8"/>
      <c r="D83" s="8"/>
      <c r="E83" s="8"/>
      <c r="F83" s="8"/>
      <c r="G83" s="8"/>
      <c r="H83" s="21"/>
    </row>
    <row r="84" spans="1:8" x14ac:dyDescent="0.3">
      <c r="A84" s="4"/>
      <c r="B84" s="20"/>
      <c r="C84" s="8"/>
      <c r="D84" s="8"/>
      <c r="E84" s="8"/>
      <c r="F84" s="8"/>
      <c r="G84" s="8"/>
      <c r="H84" s="21"/>
    </row>
  </sheetData>
  <mergeCells count="1">
    <mergeCell ref="A1:C1"/>
  </mergeCells>
  <phoneticPr fontId="1" type="noConversion"/>
  <hyperlinks>
    <hyperlink ref="A31" location="Details!A8" display="Details" xr:uid="{11311AA1-CF83-415F-86C3-B1011B531A2F}"/>
    <hyperlink ref="A27" location="Details!A12" display="Details" xr:uid="{47C0C486-A10C-4CE8-BFDA-18953AB72328}"/>
    <hyperlink ref="A30" location="Details!A16" display="Details" xr:uid="{F89CF619-D916-4E60-9500-FE7AFD0A6165}"/>
    <hyperlink ref="A28" location="Details!A20" display="Details" xr:uid="{B794B873-9A22-40BA-9904-CBD810AFC64A}"/>
    <hyperlink ref="A38" r:id="rId1" location="Details!A28" xr:uid="{DD8DE28C-AEC7-4B99-9679-F7BED1BEECEF}"/>
    <hyperlink ref="A40" r:id="rId2" location="Details!A36" xr:uid="{B3DE18CE-C497-4E3E-A19D-8DF32AA8DC32}"/>
    <hyperlink ref="A43" r:id="rId3" location="Details!A48" xr:uid="{9E6C74CB-4724-4E13-92FA-16172365B9F5}"/>
    <hyperlink ref="A41" r:id="rId4" location="Details!A40" xr:uid="{580018F5-CDBE-47DC-8045-9BD64347B4A5}"/>
    <hyperlink ref="A42" r:id="rId5" location="Details!A44" xr:uid="{F711524D-D453-4E03-801C-E1DA761978E0}"/>
    <hyperlink ref="A39" r:id="rId6" location="Details!A32" xr:uid="{D1CF1386-0BF8-40C9-B817-D5369C63B0C8}"/>
    <hyperlink ref="A32" location="Details!A4" display="Details" xr:uid="{6C1F4F7B-9516-4C2D-BBB5-4039D000B169}"/>
    <hyperlink ref="A50" r:id="rId7" location="Details!A64" xr:uid="{E70C2827-AA31-4AC2-A1D8-8F7FD9A22FD7}"/>
    <hyperlink ref="A53" r:id="rId8" location="Details!A76" xr:uid="{ACB3E1FB-4C86-43CF-BC5E-7168FB9575B1}"/>
    <hyperlink ref="A51" r:id="rId9" location="Details!A68" xr:uid="{3AFBF5CE-4FF1-4117-8399-0DE8216FD5B1}"/>
    <hyperlink ref="A52" r:id="rId10" location="Details!A72" xr:uid="{3BA06879-A51E-4B7A-8AAF-6FE4A4905EEB}"/>
    <hyperlink ref="A49" r:id="rId11" location="Details!A60" xr:uid="{B7CD45B8-C894-468C-8670-2C163E8E355A}"/>
    <hyperlink ref="A48" r:id="rId12" location="Details!A56" xr:uid="{08665F13-BD35-4F1F-ADFF-14C5BCF13596}"/>
    <hyperlink ref="A60" r:id="rId13" location="Details!A92" xr:uid="{E49E2072-A13D-4F66-A392-F9492BA75B35}"/>
    <hyperlink ref="A63" r:id="rId14" location="Details!A104" xr:uid="{D4F9B318-B698-4676-B491-5C424AC55C90}"/>
    <hyperlink ref="A61" r:id="rId15" location="Details!A96" xr:uid="{C77F4F6D-27D6-4D5E-A9AE-743AB5959BE1}"/>
    <hyperlink ref="A62" r:id="rId16" location="Details!A100" xr:uid="{B9A1F188-61BB-470D-96B8-B4FAFEE93375}"/>
    <hyperlink ref="A59" r:id="rId17" location="Details!A88" xr:uid="{2ACE587D-E248-4554-BFA4-A1251140D191}"/>
    <hyperlink ref="A58" r:id="rId18" location="Details!A84" xr:uid="{23CF13E4-790C-47F6-85BF-DF46209AE1E9}"/>
    <hyperlink ref="A64" location="Details!A108" display="Details" xr:uid="{3ED4FD2E-7214-4DD5-A5C5-42196ADC4DC9}"/>
    <hyperlink ref="A71" r:id="rId19" location="Details!A124" xr:uid="{735400E3-6676-4852-AD68-2F08DB5E9EB3}"/>
    <hyperlink ref="A74" r:id="rId20" location="Details!A136" xr:uid="{95E6CE2C-C34F-4E8A-B088-8CEBA79A2F3C}"/>
    <hyperlink ref="A72" r:id="rId21" location="Details!A128" xr:uid="{20F9092F-88CE-4372-8904-7647228B8315}"/>
    <hyperlink ref="A73" r:id="rId22" location="Details!A132" xr:uid="{AA596E71-3FD0-4FC3-8270-4D2A2C114B08}"/>
    <hyperlink ref="A70" r:id="rId23" location="Details!A120" xr:uid="{AC5AFA51-6E15-4EC2-8530-823D35EA4D3F}"/>
    <hyperlink ref="A69" r:id="rId24" location="Details!A116" xr:uid="{67CA2FD1-B2E1-449D-8C5D-9E8B013BC53E}"/>
    <hyperlink ref="A81" r:id="rId25" location="Details!A148" xr:uid="{83BC74DA-D95A-409E-B64A-0BD76347B823}"/>
    <hyperlink ref="A82" r:id="rId26" location="Details!A152" xr:uid="{1BA1FA74-E888-4E8C-A0A1-696BDECD3F84}"/>
    <hyperlink ref="A80" r:id="rId27" location="Details!A144" xr:uid="{FF5D57A8-2CB3-46FC-8AB7-AE774B27FFE3}"/>
  </hyperlinks>
  <pageMargins left="0.7" right="0.7" top="0.75" bottom="0.75" header="0.3" footer="0.3"/>
  <pageSetup orientation="portrait" r:id="rId28"/>
  <ignoredErrors>
    <ignoredError sqref="D20" twoDigitTextYear="1"/>
    <ignoredError sqref="F48:F53" calculatedColumn="1"/>
  </ignoredErrors>
  <tableParts count="8"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952D-2478-4AE3-A0CE-BBC1B333A118}">
  <dimension ref="A1:L156"/>
  <sheetViews>
    <sheetView topLeftCell="A136" zoomScale="113" workbookViewId="0">
      <selection activeCell="A152" sqref="A152"/>
    </sheetView>
  </sheetViews>
  <sheetFormatPr defaultRowHeight="14.4" x14ac:dyDescent="0.3"/>
  <cols>
    <col min="1" max="1" width="30.44140625" style="8" bestFit="1" customWidth="1"/>
    <col min="2" max="2" width="33.21875" style="8" bestFit="1" customWidth="1"/>
    <col min="3" max="3" width="26.21875" style="8" bestFit="1" customWidth="1"/>
    <col min="4" max="4" width="22.33203125" style="8" bestFit="1" customWidth="1"/>
    <col min="5" max="5" width="14.44140625" style="8" bestFit="1" customWidth="1"/>
    <col min="6" max="6" width="17.44140625" style="8" bestFit="1" customWidth="1"/>
    <col min="7" max="7" width="21.5546875" style="8" bestFit="1" customWidth="1"/>
    <col min="8" max="8" width="11.5546875" style="8" bestFit="1" customWidth="1"/>
    <col min="9" max="9" width="15.109375" style="8" bestFit="1" customWidth="1"/>
    <col min="10" max="10" width="11.6640625" style="8" bestFit="1" customWidth="1"/>
    <col min="11" max="11" width="16" style="8" bestFit="1" customWidth="1"/>
    <col min="12" max="12" width="6.21875" style="8" bestFit="1" customWidth="1"/>
    <col min="13" max="16384" width="8.88671875" style="8"/>
  </cols>
  <sheetData>
    <row r="1" spans="1:9" x14ac:dyDescent="0.3">
      <c r="A1" s="17" t="s">
        <v>67</v>
      </c>
    </row>
    <row r="3" spans="1:9" x14ac:dyDescent="0.3">
      <c r="A3" s="8" t="s">
        <v>53</v>
      </c>
    </row>
    <row r="4" spans="1:9" x14ac:dyDescent="0.3">
      <c r="A4" s="8" t="s">
        <v>58</v>
      </c>
    </row>
    <row r="5" spans="1:9" x14ac:dyDescent="0.3">
      <c r="B5" s="8" t="s">
        <v>58</v>
      </c>
      <c r="C5" s="8" t="s">
        <v>77</v>
      </c>
      <c r="D5" s="8" t="s">
        <v>74</v>
      </c>
      <c r="E5" s="12" t="s">
        <v>41</v>
      </c>
      <c r="F5" s="8" t="s">
        <v>39</v>
      </c>
      <c r="G5" s="8" t="s">
        <v>75</v>
      </c>
      <c r="H5" s="8" t="s">
        <v>73</v>
      </c>
      <c r="I5" s="8" t="s">
        <v>88</v>
      </c>
    </row>
    <row r="6" spans="1:9" x14ac:dyDescent="0.3">
      <c r="B6" s="8" t="s">
        <v>63</v>
      </c>
      <c r="C6" s="8" t="s">
        <v>78</v>
      </c>
      <c r="D6" s="8" t="s">
        <v>44</v>
      </c>
      <c r="E6" s="12">
        <v>5</v>
      </c>
      <c r="F6" s="8" t="s">
        <v>78</v>
      </c>
      <c r="G6" s="8" t="s">
        <v>34</v>
      </c>
      <c r="H6" s="8" t="s">
        <v>76</v>
      </c>
      <c r="I6" s="8" t="s">
        <v>89</v>
      </c>
    </row>
    <row r="8" spans="1:9" x14ac:dyDescent="0.3">
      <c r="A8" s="8" t="s">
        <v>60</v>
      </c>
    </row>
    <row r="9" spans="1:9" x14ac:dyDescent="0.3">
      <c r="B9" s="8" t="s">
        <v>60</v>
      </c>
      <c r="C9" s="8" t="s">
        <v>80</v>
      </c>
      <c r="D9" s="8" t="s">
        <v>42</v>
      </c>
      <c r="E9" s="8" t="s">
        <v>41</v>
      </c>
      <c r="F9" s="8" t="s">
        <v>79</v>
      </c>
    </row>
    <row r="10" spans="1:9" x14ac:dyDescent="0.3">
      <c r="B10" s="8" t="s">
        <v>63</v>
      </c>
      <c r="C10" s="8" t="s">
        <v>40</v>
      </c>
      <c r="D10" s="8" t="s">
        <v>81</v>
      </c>
      <c r="E10" s="8">
        <v>1</v>
      </c>
      <c r="F10" s="8" t="s">
        <v>78</v>
      </c>
    </row>
    <row r="12" spans="1:9" x14ac:dyDescent="0.3">
      <c r="A12" s="8" t="s">
        <v>54</v>
      </c>
    </row>
    <row r="13" spans="1:9" x14ac:dyDescent="0.3">
      <c r="B13" s="8" t="s">
        <v>54</v>
      </c>
      <c r="C13" s="8" t="s">
        <v>82</v>
      </c>
    </row>
    <row r="14" spans="1:9" x14ac:dyDescent="0.3">
      <c r="B14" s="8" t="s">
        <v>63</v>
      </c>
      <c r="C14" s="8" t="s">
        <v>30</v>
      </c>
    </row>
    <row r="16" spans="1:9" x14ac:dyDescent="0.3">
      <c r="A16" s="8" t="s">
        <v>59</v>
      </c>
    </row>
    <row r="17" spans="1:6" x14ac:dyDescent="0.3">
      <c r="B17" s="8" t="s">
        <v>59</v>
      </c>
      <c r="C17" s="8" t="s">
        <v>42</v>
      </c>
    </row>
    <row r="18" spans="1:6" x14ac:dyDescent="0.3">
      <c r="B18" s="8" t="s">
        <v>63</v>
      </c>
      <c r="C18" s="8" t="s">
        <v>38</v>
      </c>
    </row>
    <row r="20" spans="1:6" x14ac:dyDescent="0.3">
      <c r="A20" s="8" t="s">
        <v>65</v>
      </c>
    </row>
    <row r="21" spans="1:6" x14ac:dyDescent="0.3">
      <c r="B21" s="8" t="s">
        <v>65</v>
      </c>
      <c r="C21" s="8" t="s">
        <v>82</v>
      </c>
      <c r="D21" s="8" t="s">
        <v>39</v>
      </c>
      <c r="E21" s="8" t="s">
        <v>91</v>
      </c>
      <c r="F21" s="8" t="s">
        <v>90</v>
      </c>
    </row>
    <row r="22" spans="1:6" x14ac:dyDescent="0.3">
      <c r="B22" s="8" t="s">
        <v>63</v>
      </c>
      <c r="C22" s="8" t="s">
        <v>30</v>
      </c>
      <c r="D22" s="13" t="s">
        <v>40</v>
      </c>
      <c r="E22" s="8" t="s">
        <v>40</v>
      </c>
      <c r="F22" s="8" t="s">
        <v>38</v>
      </c>
    </row>
    <row r="27" spans="1:6" x14ac:dyDescent="0.3">
      <c r="A27" s="8" t="s">
        <v>92</v>
      </c>
    </row>
    <row r="28" spans="1:6" x14ac:dyDescent="0.3">
      <c r="A28" s="10" t="s">
        <v>94</v>
      </c>
    </row>
    <row r="29" spans="1:6" x14ac:dyDescent="0.3">
      <c r="B29" s="8" t="s">
        <v>94</v>
      </c>
      <c r="C29" s="8" t="s">
        <v>42</v>
      </c>
      <c r="D29" s="8" t="s">
        <v>118</v>
      </c>
      <c r="E29" s="12" t="s">
        <v>41</v>
      </c>
    </row>
    <row r="30" spans="1:6" x14ac:dyDescent="0.3">
      <c r="B30" s="8" t="s">
        <v>63</v>
      </c>
      <c r="C30" s="8">
        <v>10</v>
      </c>
      <c r="D30" s="8">
        <v>10</v>
      </c>
      <c r="E30" s="12">
        <v>3</v>
      </c>
    </row>
    <row r="32" spans="1:6" x14ac:dyDescent="0.3">
      <c r="A32" s="10" t="s">
        <v>98</v>
      </c>
    </row>
    <row r="33" spans="1:7" x14ac:dyDescent="0.3">
      <c r="B33" s="8" t="s">
        <v>98</v>
      </c>
      <c r="C33" s="8" t="s">
        <v>115</v>
      </c>
      <c r="D33" s="8" t="s">
        <v>116</v>
      </c>
    </row>
    <row r="34" spans="1:7" x14ac:dyDescent="0.3">
      <c r="B34" s="8" t="s">
        <v>63</v>
      </c>
      <c r="C34" s="8" t="s">
        <v>38</v>
      </c>
      <c r="D34" s="8" t="s">
        <v>38</v>
      </c>
    </row>
    <row r="36" spans="1:7" x14ac:dyDescent="0.3">
      <c r="A36" s="10" t="s">
        <v>99</v>
      </c>
    </row>
    <row r="37" spans="1:7" x14ac:dyDescent="0.3">
      <c r="B37" s="8" t="s">
        <v>123</v>
      </c>
      <c r="C37" s="8" t="s">
        <v>110</v>
      </c>
      <c r="D37" s="8" t="s">
        <v>111</v>
      </c>
      <c r="E37" s="8" t="s">
        <v>112</v>
      </c>
      <c r="F37" s="8" t="s">
        <v>113</v>
      </c>
      <c r="G37" s="12" t="s">
        <v>114</v>
      </c>
    </row>
    <row r="38" spans="1:7" x14ac:dyDescent="0.3">
      <c r="B38" s="8" t="s">
        <v>63</v>
      </c>
      <c r="C38" s="13" t="s">
        <v>40</v>
      </c>
      <c r="D38" s="8" t="s">
        <v>40</v>
      </c>
      <c r="E38" s="8" t="s">
        <v>40</v>
      </c>
      <c r="F38" s="8" t="s">
        <v>40</v>
      </c>
      <c r="G38" s="12">
        <v>7</v>
      </c>
    </row>
    <row r="40" spans="1:7" x14ac:dyDescent="0.3">
      <c r="A40" s="10" t="s">
        <v>100</v>
      </c>
    </row>
    <row r="41" spans="1:7" x14ac:dyDescent="0.3">
      <c r="B41" s="8" t="s">
        <v>124</v>
      </c>
      <c r="C41" s="8" t="s">
        <v>42</v>
      </c>
      <c r="D41" s="8" t="s">
        <v>77</v>
      </c>
      <c r="E41" s="12" t="s">
        <v>41</v>
      </c>
    </row>
    <row r="42" spans="1:7" x14ac:dyDescent="0.3">
      <c r="B42" s="8" t="s">
        <v>63</v>
      </c>
      <c r="C42" s="8" t="s">
        <v>78</v>
      </c>
      <c r="D42" s="8" t="s">
        <v>38</v>
      </c>
      <c r="E42" s="12">
        <v>1</v>
      </c>
    </row>
    <row r="44" spans="1:7" x14ac:dyDescent="0.3">
      <c r="A44" s="10" t="s">
        <v>102</v>
      </c>
    </row>
    <row r="45" spans="1:7" x14ac:dyDescent="0.3">
      <c r="B45" s="8" t="s">
        <v>102</v>
      </c>
      <c r="C45" s="8" t="s">
        <v>103</v>
      </c>
      <c r="D45" s="8" t="s">
        <v>105</v>
      </c>
      <c r="E45" s="8" t="s">
        <v>109</v>
      </c>
      <c r="F45" s="8" t="s">
        <v>36</v>
      </c>
      <c r="G45" s="8" t="s">
        <v>79</v>
      </c>
    </row>
    <row r="46" spans="1:7" x14ac:dyDescent="0.3">
      <c r="B46" s="8" t="s">
        <v>63</v>
      </c>
      <c r="C46" s="8" t="s">
        <v>37</v>
      </c>
      <c r="D46" s="8" t="s">
        <v>106</v>
      </c>
      <c r="E46" s="8" t="s">
        <v>117</v>
      </c>
      <c r="F46" s="8" t="s">
        <v>38</v>
      </c>
      <c r="G46" s="8" t="s">
        <v>35</v>
      </c>
    </row>
    <row r="48" spans="1:7" x14ac:dyDescent="0.3">
      <c r="A48" s="10" t="s">
        <v>104</v>
      </c>
    </row>
    <row r="49" spans="1:9" x14ac:dyDescent="0.3">
      <c r="B49" s="8" t="s">
        <v>104</v>
      </c>
      <c r="C49" s="8" t="s">
        <v>103</v>
      </c>
    </row>
    <row r="50" spans="1:9" x14ac:dyDescent="0.3">
      <c r="B50" s="8" t="s">
        <v>63</v>
      </c>
      <c r="C50" s="8" t="s">
        <v>30</v>
      </c>
    </row>
    <row r="55" spans="1:9" x14ac:dyDescent="0.3">
      <c r="A55" s="8" t="s">
        <v>125</v>
      </c>
    </row>
    <row r="56" spans="1:9" x14ac:dyDescent="0.3">
      <c r="A56" s="10" t="s">
        <v>126</v>
      </c>
    </row>
    <row r="57" spans="1:9" x14ac:dyDescent="0.3">
      <c r="B57" s="8" t="s">
        <v>126</v>
      </c>
      <c r="C57" s="8" t="s">
        <v>138</v>
      </c>
      <c r="D57" s="8" t="s">
        <v>139</v>
      </c>
      <c r="E57" s="8" t="s">
        <v>140</v>
      </c>
      <c r="F57" s="8" t="s">
        <v>141</v>
      </c>
      <c r="G57" s="8" t="s">
        <v>79</v>
      </c>
      <c r="H57" s="8" t="s">
        <v>142</v>
      </c>
    </row>
    <row r="58" spans="1:9" x14ac:dyDescent="0.3">
      <c r="B58" s="8" t="s">
        <v>63</v>
      </c>
      <c r="C58" s="8">
        <v>5</v>
      </c>
      <c r="D58" s="8">
        <v>5</v>
      </c>
      <c r="E58" s="8">
        <v>3</v>
      </c>
      <c r="F58" s="8">
        <v>5</v>
      </c>
      <c r="G58" s="8">
        <f>+Table1012172213[[#This Row],[Quiz1]]+Table1012172213[[#This Row],[Quiz2]]</f>
        <v>8</v>
      </c>
      <c r="H58" s="8">
        <v>10</v>
      </c>
    </row>
    <row r="60" spans="1:9" x14ac:dyDescent="0.3">
      <c r="A60" s="10" t="s">
        <v>133</v>
      </c>
    </row>
    <row r="61" spans="1:9" x14ac:dyDescent="0.3">
      <c r="B61" s="8" t="s">
        <v>133</v>
      </c>
      <c r="C61" s="8" t="s">
        <v>138</v>
      </c>
      <c r="D61" s="8" t="s">
        <v>139</v>
      </c>
      <c r="E61" s="8" t="s">
        <v>36</v>
      </c>
      <c r="F61" s="8" t="s">
        <v>143</v>
      </c>
      <c r="G61" s="8" t="s">
        <v>90</v>
      </c>
      <c r="H61" s="8" t="s">
        <v>79</v>
      </c>
      <c r="I61" s="8" t="s">
        <v>142</v>
      </c>
    </row>
    <row r="62" spans="1:9" x14ac:dyDescent="0.3">
      <c r="B62" s="8" t="s">
        <v>63</v>
      </c>
      <c r="C62" s="8">
        <v>24</v>
      </c>
      <c r="D62" s="8">
        <v>30</v>
      </c>
      <c r="E62" s="8">
        <v>30</v>
      </c>
      <c r="F62" s="8">
        <v>50</v>
      </c>
      <c r="G62" s="8">
        <v>10</v>
      </c>
      <c r="H62" s="8">
        <v>54</v>
      </c>
      <c r="I62" s="8">
        <v>80</v>
      </c>
    </row>
    <row r="64" spans="1:9" x14ac:dyDescent="0.3">
      <c r="A64" s="10" t="s">
        <v>128</v>
      </c>
    </row>
    <row r="65" spans="1:7" x14ac:dyDescent="0.3">
      <c r="B65" s="8" t="s">
        <v>128</v>
      </c>
      <c r="C65" s="8" t="s">
        <v>132</v>
      </c>
      <c r="D65" s="8" t="s">
        <v>42</v>
      </c>
      <c r="E65" s="8" t="s">
        <v>79</v>
      </c>
      <c r="F65" s="8" t="s">
        <v>142</v>
      </c>
      <c r="G65" s="8" t="s">
        <v>41</v>
      </c>
    </row>
    <row r="66" spans="1:7" x14ac:dyDescent="0.3">
      <c r="B66" s="8" t="s">
        <v>63</v>
      </c>
      <c r="C66" s="8" t="s">
        <v>30</v>
      </c>
      <c r="D66" s="8" t="s">
        <v>78</v>
      </c>
      <c r="E66" s="8">
        <v>30</v>
      </c>
      <c r="F66" s="8">
        <v>30</v>
      </c>
      <c r="G66" s="8">
        <v>3</v>
      </c>
    </row>
    <row r="68" spans="1:7" x14ac:dyDescent="0.3">
      <c r="A68" s="10" t="s">
        <v>129</v>
      </c>
    </row>
    <row r="69" spans="1:7" x14ac:dyDescent="0.3">
      <c r="B69" s="8" t="s">
        <v>129</v>
      </c>
      <c r="C69" s="8" t="s">
        <v>144</v>
      </c>
      <c r="D69" s="8" t="s">
        <v>145</v>
      </c>
      <c r="E69" s="8" t="s">
        <v>146</v>
      </c>
      <c r="F69" s="8" t="s">
        <v>147</v>
      </c>
    </row>
    <row r="70" spans="1:7" x14ac:dyDescent="0.3">
      <c r="B70" s="8" t="s">
        <v>63</v>
      </c>
      <c r="C70" s="8">
        <v>9</v>
      </c>
      <c r="D70" s="8">
        <v>10</v>
      </c>
      <c r="E70" s="8">
        <v>10</v>
      </c>
      <c r="F70" s="8">
        <v>10</v>
      </c>
    </row>
    <row r="72" spans="1:7" x14ac:dyDescent="0.3">
      <c r="A72" s="10" t="s">
        <v>130</v>
      </c>
    </row>
    <row r="73" spans="1:7" x14ac:dyDescent="0.3">
      <c r="B73" s="8" t="s">
        <v>130</v>
      </c>
      <c r="C73" s="8" t="s">
        <v>134</v>
      </c>
      <c r="D73" s="8" t="s">
        <v>42</v>
      </c>
      <c r="E73" s="8" t="s">
        <v>79</v>
      </c>
      <c r="F73" s="8" t="s">
        <v>142</v>
      </c>
    </row>
    <row r="74" spans="1:7" x14ac:dyDescent="0.3">
      <c r="B74" s="8" t="s">
        <v>63</v>
      </c>
      <c r="C74" s="8" t="s">
        <v>38</v>
      </c>
      <c r="D74" s="8" t="s">
        <v>38</v>
      </c>
      <c r="E74" s="8">
        <v>20</v>
      </c>
      <c r="F74" s="8">
        <v>20</v>
      </c>
    </row>
    <row r="76" spans="1:7" x14ac:dyDescent="0.3">
      <c r="A76" s="10" t="s">
        <v>131</v>
      </c>
    </row>
    <row r="77" spans="1:7" x14ac:dyDescent="0.3">
      <c r="B77" s="8" t="s">
        <v>131</v>
      </c>
      <c r="C77" s="8" t="s">
        <v>74</v>
      </c>
      <c r="D77" s="8" t="s">
        <v>75</v>
      </c>
      <c r="E77" s="8" t="s">
        <v>134</v>
      </c>
      <c r="F77" s="8" t="s">
        <v>79</v>
      </c>
      <c r="G77" s="8" t="s">
        <v>142</v>
      </c>
    </row>
    <row r="78" spans="1:7" x14ac:dyDescent="0.3">
      <c r="B78" s="8" t="s">
        <v>63</v>
      </c>
      <c r="C78" s="8" t="s">
        <v>38</v>
      </c>
      <c r="D78" s="8" t="s">
        <v>78</v>
      </c>
      <c r="E78" s="8" t="s">
        <v>135</v>
      </c>
      <c r="F78" s="8">
        <v>20</v>
      </c>
      <c r="G78" s="8">
        <v>20</v>
      </c>
    </row>
    <row r="83" spans="1:8" x14ac:dyDescent="0.3">
      <c r="A83" s="8" t="s">
        <v>148</v>
      </c>
    </row>
    <row r="84" spans="1:8" x14ac:dyDescent="0.3">
      <c r="A84" s="10" t="s">
        <v>154</v>
      </c>
    </row>
    <row r="85" spans="1:8" x14ac:dyDescent="0.3">
      <c r="B85" s="30" t="s">
        <v>154</v>
      </c>
      <c r="C85" s="31" t="s">
        <v>42</v>
      </c>
      <c r="D85" s="31" t="s">
        <v>167</v>
      </c>
    </row>
    <row r="86" spans="1:8" x14ac:dyDescent="0.3">
      <c r="B86" s="32" t="s">
        <v>63</v>
      </c>
      <c r="C86" s="25">
        <v>20</v>
      </c>
      <c r="D86" s="25">
        <v>20</v>
      </c>
    </row>
    <row r="88" spans="1:8" x14ac:dyDescent="0.3">
      <c r="A88" s="10" t="s">
        <v>153</v>
      </c>
    </row>
    <row r="89" spans="1:8" x14ac:dyDescent="0.3">
      <c r="B89" s="30" t="s">
        <v>153</v>
      </c>
      <c r="C89" s="31" t="s">
        <v>138</v>
      </c>
      <c r="D89" s="30" t="s">
        <v>139</v>
      </c>
      <c r="E89" s="30" t="s">
        <v>140</v>
      </c>
      <c r="F89" s="30" t="s">
        <v>143</v>
      </c>
    </row>
    <row r="90" spans="1:8" x14ac:dyDescent="0.3">
      <c r="B90" s="32" t="s">
        <v>63</v>
      </c>
      <c r="C90" s="25">
        <v>5</v>
      </c>
      <c r="D90" s="32">
        <v>5</v>
      </c>
      <c r="E90" s="32">
        <v>4.5</v>
      </c>
      <c r="F90" s="32">
        <v>5</v>
      </c>
    </row>
    <row r="92" spans="1:8" x14ac:dyDescent="0.3">
      <c r="A92" s="10" t="s">
        <v>159</v>
      </c>
    </row>
    <row r="93" spans="1:8" x14ac:dyDescent="0.3">
      <c r="B93" s="30" t="s">
        <v>159</v>
      </c>
      <c r="C93" s="31" t="s">
        <v>174</v>
      </c>
      <c r="D93" s="31" t="s">
        <v>176</v>
      </c>
      <c r="E93" s="31" t="s">
        <v>175</v>
      </c>
      <c r="F93" s="31" t="s">
        <v>177</v>
      </c>
      <c r="G93" s="31" t="s">
        <v>42</v>
      </c>
      <c r="H93" s="31" t="s">
        <v>167</v>
      </c>
    </row>
    <row r="94" spans="1:8" x14ac:dyDescent="0.3">
      <c r="B94" s="32" t="s">
        <v>63</v>
      </c>
      <c r="C94" s="25">
        <v>9</v>
      </c>
      <c r="D94" s="25">
        <v>10</v>
      </c>
      <c r="E94" s="25">
        <v>9</v>
      </c>
      <c r="F94" s="25">
        <v>10</v>
      </c>
      <c r="G94" s="25">
        <v>10</v>
      </c>
      <c r="H94" s="25">
        <v>10</v>
      </c>
    </row>
    <row r="96" spans="1:8" x14ac:dyDescent="0.3">
      <c r="A96" s="10" t="s">
        <v>151</v>
      </c>
    </row>
    <row r="97" spans="1:12" x14ac:dyDescent="0.3">
      <c r="B97" s="30" t="s">
        <v>151</v>
      </c>
      <c r="C97" s="31" t="s">
        <v>42</v>
      </c>
      <c r="D97" s="31" t="s">
        <v>167</v>
      </c>
      <c r="E97" s="31" t="s">
        <v>103</v>
      </c>
      <c r="F97" s="31" t="s">
        <v>173</v>
      </c>
    </row>
    <row r="98" spans="1:12" x14ac:dyDescent="0.3">
      <c r="B98" s="32" t="s">
        <v>63</v>
      </c>
      <c r="C98" s="25">
        <v>10</v>
      </c>
      <c r="D98" s="25">
        <v>10</v>
      </c>
      <c r="E98" s="25">
        <v>10</v>
      </c>
      <c r="F98" s="25">
        <v>10</v>
      </c>
    </row>
    <row r="100" spans="1:12" x14ac:dyDescent="0.3">
      <c r="A100" s="10" t="s">
        <v>155</v>
      </c>
    </row>
    <row r="101" spans="1:12" x14ac:dyDescent="0.3">
      <c r="B101" s="30" t="s">
        <v>155</v>
      </c>
      <c r="C101" s="31" t="s">
        <v>90</v>
      </c>
      <c r="D101" s="31" t="s">
        <v>168</v>
      </c>
    </row>
    <row r="102" spans="1:12" x14ac:dyDescent="0.3">
      <c r="B102" s="32" t="s">
        <v>63</v>
      </c>
      <c r="C102" s="25">
        <v>10</v>
      </c>
      <c r="D102" s="25">
        <v>10</v>
      </c>
    </row>
    <row r="104" spans="1:12" x14ac:dyDescent="0.3">
      <c r="A104" s="10" t="s">
        <v>156</v>
      </c>
    </row>
    <row r="105" spans="1:12" x14ac:dyDescent="0.3">
      <c r="B105" s="30" t="s">
        <v>156</v>
      </c>
      <c r="C105" s="31" t="s">
        <v>164</v>
      </c>
      <c r="D105" s="31" t="s">
        <v>165</v>
      </c>
      <c r="E105" s="31" t="s">
        <v>166</v>
      </c>
      <c r="F105" s="31" t="s">
        <v>169</v>
      </c>
      <c r="G105" s="31" t="s">
        <v>169</v>
      </c>
      <c r="H105" s="31" t="s">
        <v>39</v>
      </c>
      <c r="I105" s="31" t="s">
        <v>170</v>
      </c>
      <c r="J105" s="31" t="s">
        <v>171</v>
      </c>
      <c r="K105" s="31" t="s">
        <v>172</v>
      </c>
      <c r="L105" s="31" t="s">
        <v>41</v>
      </c>
    </row>
    <row r="106" spans="1:12" x14ac:dyDescent="0.3">
      <c r="B106" s="32" t="s">
        <v>63</v>
      </c>
      <c r="C106" s="25">
        <v>2.5</v>
      </c>
      <c r="D106" s="25">
        <v>2.5</v>
      </c>
      <c r="E106" s="25">
        <v>2.5</v>
      </c>
      <c r="F106" s="25">
        <v>1</v>
      </c>
      <c r="G106" s="25">
        <v>1</v>
      </c>
      <c r="H106" s="25">
        <v>5</v>
      </c>
      <c r="I106" s="25">
        <v>5</v>
      </c>
      <c r="J106" s="25">
        <v>5</v>
      </c>
      <c r="K106" s="25">
        <v>5</v>
      </c>
      <c r="L106" s="25">
        <v>2</v>
      </c>
    </row>
    <row r="108" spans="1:12" x14ac:dyDescent="0.3">
      <c r="A108" s="10" t="s">
        <v>157</v>
      </c>
    </row>
    <row r="109" spans="1:12" x14ac:dyDescent="0.3">
      <c r="B109" s="30" t="s">
        <v>157</v>
      </c>
      <c r="C109" s="31" t="s">
        <v>42</v>
      </c>
      <c r="D109" s="31" t="s">
        <v>167</v>
      </c>
    </row>
    <row r="110" spans="1:12" x14ac:dyDescent="0.3">
      <c r="B110" s="32" t="s">
        <v>63</v>
      </c>
      <c r="C110" s="25">
        <v>18.5</v>
      </c>
      <c r="D110" s="25">
        <v>20</v>
      </c>
    </row>
    <row r="115" spans="1:8" x14ac:dyDescent="0.3">
      <c r="A115" s="8" t="s">
        <v>178</v>
      </c>
    </row>
    <row r="116" spans="1:8" x14ac:dyDescent="0.3">
      <c r="A116" s="10" t="s">
        <v>179</v>
      </c>
    </row>
    <row r="117" spans="1:8" x14ac:dyDescent="0.3">
      <c r="B117" s="30" t="s">
        <v>179</v>
      </c>
      <c r="C117" s="31" t="s">
        <v>42</v>
      </c>
      <c r="D117" s="31" t="s">
        <v>167</v>
      </c>
      <c r="E117" s="31" t="s">
        <v>187</v>
      </c>
      <c r="F117" s="31" t="s">
        <v>188</v>
      </c>
    </row>
    <row r="118" spans="1:8" x14ac:dyDescent="0.3">
      <c r="B118" s="32" t="s">
        <v>63</v>
      </c>
      <c r="C118" s="25">
        <v>10</v>
      </c>
      <c r="D118" s="25">
        <v>10</v>
      </c>
      <c r="E118" s="25">
        <v>10</v>
      </c>
      <c r="F118" s="25">
        <v>10</v>
      </c>
    </row>
    <row r="120" spans="1:8" x14ac:dyDescent="0.3">
      <c r="A120" s="10" t="s">
        <v>183</v>
      </c>
    </row>
    <row r="121" spans="1:8" x14ac:dyDescent="0.3">
      <c r="B121" s="30" t="s">
        <v>183</v>
      </c>
      <c r="C121" s="31"/>
      <c r="D121" s="31"/>
    </row>
    <row r="122" spans="1:8" x14ac:dyDescent="0.3">
      <c r="B122" s="32" t="s">
        <v>63</v>
      </c>
      <c r="C122" s="25"/>
      <c r="D122" s="25"/>
    </row>
    <row r="124" spans="1:8" x14ac:dyDescent="0.3">
      <c r="A124" s="10" t="s">
        <v>180</v>
      </c>
    </row>
    <row r="125" spans="1:8" x14ac:dyDescent="0.3">
      <c r="B125" s="30" t="s">
        <v>180</v>
      </c>
      <c r="C125" s="31" t="s">
        <v>42</v>
      </c>
      <c r="D125" s="31" t="s">
        <v>167</v>
      </c>
      <c r="E125" s="31" t="s">
        <v>174</v>
      </c>
      <c r="F125" s="31" t="s">
        <v>176</v>
      </c>
      <c r="G125" s="31" t="s">
        <v>175</v>
      </c>
      <c r="H125" s="31" t="s">
        <v>177</v>
      </c>
    </row>
    <row r="126" spans="1:8" x14ac:dyDescent="0.3">
      <c r="B126" s="32" t="s">
        <v>63</v>
      </c>
      <c r="C126" s="25">
        <v>10</v>
      </c>
      <c r="D126" s="25">
        <v>10</v>
      </c>
      <c r="E126" s="25">
        <v>5</v>
      </c>
      <c r="F126" s="25">
        <v>5</v>
      </c>
      <c r="G126" s="25">
        <v>5</v>
      </c>
      <c r="H126" s="25">
        <v>5</v>
      </c>
    </row>
    <row r="128" spans="1:8" x14ac:dyDescent="0.3">
      <c r="A128" s="10" t="s">
        <v>182</v>
      </c>
    </row>
    <row r="129" spans="1:8" x14ac:dyDescent="0.3">
      <c r="B129" s="30" t="s">
        <v>182</v>
      </c>
      <c r="C129" s="31" t="s">
        <v>103</v>
      </c>
      <c r="D129" s="31" t="s">
        <v>173</v>
      </c>
      <c r="E129" s="31" t="s">
        <v>134</v>
      </c>
      <c r="F129" s="31" t="s">
        <v>191</v>
      </c>
    </row>
    <row r="130" spans="1:8" x14ac:dyDescent="0.3">
      <c r="B130" s="32" t="s">
        <v>63</v>
      </c>
      <c r="C130" s="25">
        <v>14</v>
      </c>
      <c r="D130" s="25">
        <v>15</v>
      </c>
      <c r="E130" s="25">
        <v>5</v>
      </c>
      <c r="F130" s="25">
        <v>5</v>
      </c>
    </row>
    <row r="132" spans="1:8" x14ac:dyDescent="0.3">
      <c r="A132" s="10" t="s">
        <v>181</v>
      </c>
    </row>
    <row r="133" spans="1:8" x14ac:dyDescent="0.3">
      <c r="B133" s="30" t="s">
        <v>181</v>
      </c>
      <c r="C133" s="31" t="s">
        <v>174</v>
      </c>
      <c r="D133" s="31" t="s">
        <v>176</v>
      </c>
      <c r="E133" s="31" t="s">
        <v>175</v>
      </c>
      <c r="F133" s="31" t="s">
        <v>177</v>
      </c>
      <c r="G133" s="31" t="s">
        <v>103</v>
      </c>
      <c r="H133" s="31" t="s">
        <v>173</v>
      </c>
    </row>
    <row r="134" spans="1:8" x14ac:dyDescent="0.3">
      <c r="B134" s="32" t="s">
        <v>63</v>
      </c>
      <c r="C134" s="25">
        <v>5</v>
      </c>
      <c r="D134" s="25">
        <v>5</v>
      </c>
      <c r="E134" s="25">
        <v>5</v>
      </c>
      <c r="F134" s="25">
        <v>5</v>
      </c>
      <c r="G134" s="25">
        <v>10</v>
      </c>
      <c r="H134" s="25">
        <v>10</v>
      </c>
    </row>
    <row r="136" spans="1:8" x14ac:dyDescent="0.3">
      <c r="A136" s="10" t="s">
        <v>185</v>
      </c>
    </row>
    <row r="137" spans="1:8" x14ac:dyDescent="0.3">
      <c r="B137" s="30" t="s">
        <v>185</v>
      </c>
      <c r="C137" s="31" t="s">
        <v>189</v>
      </c>
      <c r="D137" s="31" t="s">
        <v>190</v>
      </c>
      <c r="E137" s="31" t="s">
        <v>42</v>
      </c>
      <c r="F137" s="31" t="s">
        <v>167</v>
      </c>
      <c r="G137" s="31" t="s">
        <v>41</v>
      </c>
    </row>
    <row r="138" spans="1:8" x14ac:dyDescent="0.3">
      <c r="B138" s="32" t="s">
        <v>63</v>
      </c>
      <c r="C138" s="25">
        <v>5</v>
      </c>
      <c r="D138" s="25">
        <v>5</v>
      </c>
      <c r="E138" s="25">
        <v>15</v>
      </c>
      <c r="F138" s="25">
        <v>15</v>
      </c>
      <c r="G138" s="25">
        <v>1</v>
      </c>
    </row>
    <row r="143" spans="1:8" x14ac:dyDescent="0.3">
      <c r="A143" s="8" t="s">
        <v>193</v>
      </c>
    </row>
    <row r="144" spans="1:8" x14ac:dyDescent="0.3">
      <c r="A144" s="10" t="s">
        <v>195</v>
      </c>
    </row>
    <row r="145" spans="1:8" x14ac:dyDescent="0.3">
      <c r="B145" s="30" t="s">
        <v>195</v>
      </c>
      <c r="C145" s="31"/>
      <c r="D145" s="31"/>
      <c r="E145" s="31"/>
      <c r="F145" s="31"/>
    </row>
    <row r="146" spans="1:8" x14ac:dyDescent="0.3">
      <c r="B146" s="32" t="s">
        <v>63</v>
      </c>
      <c r="C146" s="25"/>
      <c r="D146" s="25"/>
      <c r="E146" s="25"/>
      <c r="F146" s="25"/>
    </row>
    <row r="148" spans="1:8" x14ac:dyDescent="0.3">
      <c r="A148" s="10" t="s">
        <v>196</v>
      </c>
    </row>
    <row r="149" spans="1:8" x14ac:dyDescent="0.3">
      <c r="B149" s="30" t="s">
        <v>196</v>
      </c>
      <c r="C149" s="31"/>
      <c r="D149" s="31"/>
    </row>
    <row r="150" spans="1:8" x14ac:dyDescent="0.3">
      <c r="B150" s="32" t="s">
        <v>63</v>
      </c>
      <c r="C150" s="25"/>
      <c r="D150" s="25"/>
    </row>
    <row r="152" spans="1:8" x14ac:dyDescent="0.3">
      <c r="A152" s="10" t="s">
        <v>198</v>
      </c>
    </row>
    <row r="153" spans="1:8" x14ac:dyDescent="0.3">
      <c r="B153" s="30" t="s">
        <v>198</v>
      </c>
      <c r="C153" s="31"/>
      <c r="D153" s="31"/>
      <c r="E153" s="31"/>
      <c r="F153" s="31"/>
      <c r="G153" s="31"/>
      <c r="H153" s="31"/>
    </row>
    <row r="154" spans="1:8" x14ac:dyDescent="0.3">
      <c r="B154" s="32" t="s">
        <v>63</v>
      </c>
      <c r="C154" s="25"/>
      <c r="D154" s="25"/>
      <c r="E154" s="25"/>
      <c r="F154" s="25"/>
      <c r="G154" s="25"/>
      <c r="H154" s="25"/>
    </row>
    <row r="156" spans="1:8" x14ac:dyDescent="0.3">
      <c r="A156" s="10"/>
    </row>
  </sheetData>
  <phoneticPr fontId="1" type="noConversion"/>
  <hyperlinks>
    <hyperlink ref="A28" location="Grades!C38" display="Web Programming" xr:uid="{772E3371-5B4A-4D48-9120-AE556EF559C9}"/>
    <hyperlink ref="A32" location="Grades!C39" display="Database" xr:uid="{04536DED-F463-4FC0-AF6E-1B0D94566A8B}"/>
    <hyperlink ref="A36" location="Grades!C40" display="Human Computer Interaction" xr:uid="{720E2193-848A-46FD-8980-6BE50FEF4203}"/>
    <hyperlink ref="A40" location="Grades!C41" display="Software Requirements Analysis" xr:uid="{56C84A0E-186A-4019-ADB7-30D28A2F230C}"/>
    <hyperlink ref="A44" location="Grades!C42" display="Data Mining" xr:uid="{CB1AA56D-9343-4CB6-A909-4A4893098C03}"/>
    <hyperlink ref="A48" location="Grades!C43" display="Maths IV" xr:uid="{2B476565-3309-4A23-8EEF-E1A202411270}"/>
    <hyperlink ref="A56" location="Grades!C48" display="Linear Algebra" xr:uid="{849983B4-52C5-49B7-A228-4B29E7794964}"/>
    <hyperlink ref="A60" location="Grades!C49" display="Opearting Systems" xr:uid="{65661E84-179E-4331-8A75-20C84AED8302}"/>
    <hyperlink ref="A64" location="Grades!C50" display="Design and Analysis of Algorithms" xr:uid="{1FA677AC-D347-4D9B-81AF-521AC32BD244}"/>
    <hyperlink ref="A68" location="Grades!C51" display="Advanced Methods for Multimedia" xr:uid="{322891AE-9755-40AC-9461-BA4498CA64AA}"/>
    <hyperlink ref="A72" location="Grades!C52" display="Intelligent Systems" xr:uid="{CB7087B6-24A4-4B5C-8107-83ABA36C6089}"/>
    <hyperlink ref="A76" location="Grades!C53" display="Large-Scale Database" xr:uid="{FD98F84B-9F2A-47D5-9F4E-B1C0F8EF3279}"/>
    <hyperlink ref="A84" location="Grades!C58" display="Numerical Computation" xr:uid="{63308D36-7809-420D-9992-2D296F0D2EDC}"/>
    <hyperlink ref="A88" location="Grades!C59" display="AI for Game" xr:uid="{82A9739C-1407-4280-9C0A-F09ADD6482C2}"/>
    <hyperlink ref="A92" location="Grades!C60" display="Mobile Application Development" xr:uid="{5E7269C1-F763-40BE-82C7-5FA928DE135A}"/>
    <hyperlink ref="A96" location="Grades!C61" display="Mobile Application Development" xr:uid="{C7634D96-536F-455C-9E1B-265FBB7A3071}"/>
    <hyperlink ref="A100" location="Grades!C62" display="Scientific &amp; Technical Reporting" xr:uid="{86634F81-B10A-4770-9D3C-09BF0A942187}"/>
    <hyperlink ref="A104" location="Grades!C63" display="Information Systems Security" xr:uid="{977B66E6-3673-4920-9B68-C3DBA81FFB70}"/>
    <hyperlink ref="A108" location="Grades!C64" display="Cloud Software Development" xr:uid="{9478DC9C-886E-4FA9-81C6-9F8B9036589F}"/>
    <hyperlink ref="A116" r:id="rId1" location="Grades!C69" xr:uid="{41304A8B-DB0D-403B-A5EE-9A67945BE8DC}"/>
    <hyperlink ref="A120" location="Grades!C70" display="Project I" xr:uid="{2832C2F3-8889-4905-B814-708F675DCB31}"/>
    <hyperlink ref="A124" location="Grades!C71" display="Computer Graphics" xr:uid="{89AFD7B7-F92E-4305-9CF8-B5F78AB6480B}"/>
    <hyperlink ref="A128" location="Grades!C72" display="System Simulation and Modeling" xr:uid="{1A7CF686-4F82-4B82-899B-DA403FC894CC}"/>
    <hyperlink ref="A132" location="Grades!C73" display="Software Analysis and Verification" xr:uid="{0AFFABA2-2E15-4033-8743-5CC08809C5F0}"/>
    <hyperlink ref="A136" location="Grades!C74" display="Project Management" xr:uid="{3D2C0F12-D6A7-49F7-B43C-7D1828537CA1}"/>
    <hyperlink ref="A144" r:id="rId2" location="Grades!C80" xr:uid="{0042A8B7-DA05-4B40-AFC4-08E992A4C7FE}"/>
    <hyperlink ref="A148" location="Grades!C81" display="User Interface Design" xr:uid="{8DF5F7BB-1CF5-462F-9B38-0CB3501901B5}"/>
    <hyperlink ref="A152" location="Grades!C82" display="Information Retrieval" xr:uid="{222FDC56-49C3-4326-998F-DECB005B0A9E}"/>
  </hyperlinks>
  <pageMargins left="0.7" right="0.7" top="0.75" bottom="0.75" header="0.3" footer="0.3"/>
  <pageSetup orientation="portrait" r:id="rId3"/>
  <tableParts count="17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8D32-9F7C-465A-A8A9-98F3CF1C51AF}">
  <dimension ref="LOM420753:QES640896"/>
  <sheetViews>
    <sheetView workbookViewId="0"/>
  </sheetViews>
  <sheetFormatPr defaultRowHeight="14.4" x14ac:dyDescent="0.3"/>
  <sheetData>
    <row r="420753" spans="8515:8515" x14ac:dyDescent="0.3">
      <c r="LOM420753" t="s">
        <v>95</v>
      </c>
    </row>
    <row r="635314" spans="8807:8807" x14ac:dyDescent="0.3">
      <c r="LZS635314" t="s">
        <v>96</v>
      </c>
    </row>
    <row r="640896" spans="11641:11641" x14ac:dyDescent="0.3">
      <c r="QES640896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E66A5ACF97254992C4217EA7D0E10C" ma:contentTypeVersion="3" ma:contentTypeDescription="Create a new document." ma:contentTypeScope="" ma:versionID="dcb323e5e4e43f885aeb6c0dde416cd9">
  <xsd:schema xmlns:xsd="http://www.w3.org/2001/XMLSchema" xmlns:xs="http://www.w3.org/2001/XMLSchema" xmlns:p="http://schemas.microsoft.com/office/2006/metadata/properties" xmlns:ns3="7f8655ed-180d-4264-9692-e05dde76fbfd" targetNamespace="http://schemas.microsoft.com/office/2006/metadata/properties" ma:root="true" ma:fieldsID="d1c310f2f86a7d0f41ff809210cb3012" ns3:_="">
    <xsd:import namespace="7f8655ed-180d-4264-9692-e05dde76fb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8655ed-180d-4264-9692-e05dde76fb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8655ed-180d-4264-9692-e05dde76fbfd" xsi:nil="true"/>
  </documentManagement>
</p:properties>
</file>

<file path=customXml/itemProps1.xml><?xml version="1.0" encoding="utf-8"?>
<ds:datastoreItem xmlns:ds="http://schemas.openxmlformats.org/officeDocument/2006/customXml" ds:itemID="{0574A757-B1FB-47A7-8C3E-E2C657B98C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8655ed-180d-4264-9692-e05dde76fb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B02D06-66EA-4557-84AB-92B150E9C4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05A6A9-182D-4F0A-9D1C-D863DCBC7984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7f8655ed-180d-4264-9692-e05dde76fb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Courses</vt:lpstr>
      <vt:lpstr>Grades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Morcos</dc:creator>
  <cp:lastModifiedBy>Mina Morqous Mina Youhana Mina</cp:lastModifiedBy>
  <dcterms:created xsi:type="dcterms:W3CDTF">2023-05-24T21:41:05Z</dcterms:created>
  <dcterms:modified xsi:type="dcterms:W3CDTF">2026-04-05T20:43:42Z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0x01010092E66A5ACF97254992C4217EA7D0E10C</vt:lpwstr>
  </property>
</Properties>
</file>